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MIGUEL\Downloads\"/>
    </mc:Choice>
  </mc:AlternateContent>
  <xr:revisionPtr revIDLastSave="0" documentId="8_{ADA5C8D3-D3E5-4D67-9395-9145BE06A8BF}" xr6:coauthVersionLast="47" xr6:coauthVersionMax="47" xr10:uidLastSave="{00000000-0000-0000-0000-000000000000}"/>
  <bookViews>
    <workbookView xWindow="-120" yWindow="-120" windowWidth="29040" windowHeight="15720" xr2:uid="{00000000-000D-0000-FFFF-FFFF00000000}"/>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5" i="1" l="1"/>
  <c r="D141" i="1"/>
  <c r="D137" i="1"/>
  <c r="D133" i="1"/>
  <c r="D129" i="1"/>
  <c r="D125" i="1"/>
  <c r="D121" i="1"/>
  <c r="D117" i="1"/>
  <c r="D113" i="1"/>
  <c r="B146" i="1" a="1"/>
  <c r="B146" i="1" s="1"/>
  <c r="B145" i="1" a="1"/>
  <c r="B145" i="1" s="1"/>
  <c r="B142" i="1" a="1"/>
  <c r="B142" i="1" s="1"/>
  <c r="B141" i="1" a="1"/>
  <c r="B141" i="1" s="1"/>
  <c r="B138" i="1" a="1"/>
  <c r="B138" i="1" s="1"/>
  <c r="B137" i="1" a="1"/>
  <c r="B137" i="1" s="1"/>
  <c r="B134" i="1" a="1"/>
  <c r="B134" i="1" s="1"/>
  <c r="B133" i="1" a="1"/>
  <c r="B133" i="1" s="1"/>
  <c r="B130" i="1" a="1"/>
  <c r="B130" i="1" s="1"/>
  <c r="B129" i="1" a="1"/>
  <c r="B129" i="1" s="1"/>
  <c r="B126" i="1" a="1"/>
  <c r="B126" i="1" s="1"/>
  <c r="B125" i="1" a="1"/>
  <c r="B125" i="1" s="1"/>
  <c r="B122" i="1" a="1"/>
  <c r="B122" i="1" s="1"/>
  <c r="B121" i="1" a="1"/>
  <c r="B121" i="1" s="1"/>
  <c r="B118" i="1" a="1"/>
  <c r="B118" i="1" s="1"/>
  <c r="B117" i="1" a="1"/>
  <c r="B117" i="1" s="1"/>
  <c r="B114" i="1" a="1"/>
  <c r="B114" i="1" s="1"/>
  <c r="B113" i="1" a="1"/>
  <c r="B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<sst xmlns="http://schemas.openxmlformats.org/spreadsheetml/2006/main" count="192" uniqueCount="180">
  <si>
    <t xml:space="preserve">Subsistencia </t>
  </si>
  <si>
    <t>SER</t>
  </si>
  <si>
    <t>TENER</t>
  </si>
  <si>
    <t>HACER</t>
  </si>
  <si>
    <t>ESTAR</t>
  </si>
  <si>
    <t>Proteccion</t>
  </si>
  <si>
    <t>Afecto</t>
  </si>
  <si>
    <t xml:space="preserve">Entendimiento </t>
  </si>
  <si>
    <t xml:space="preserve">Participación </t>
  </si>
  <si>
    <t>Ocio</t>
  </si>
  <si>
    <t xml:space="preserve">Creación </t>
  </si>
  <si>
    <t>Identidad</t>
  </si>
  <si>
    <t xml:space="preserve">Libertad </t>
  </si>
  <si>
    <t>Matriz de necesidades y satisfactores</t>
  </si>
  <si>
    <t>Necesidades según categorías existenciales</t>
  </si>
  <si>
    <t xml:space="preserve">Necesidades según categorías axiológicas. </t>
  </si>
  <si>
    <t xml:space="preserve">Una matriz de necesidades y satisfactores interrelaciona las necesidades, satisfactores y bienes económicos, estos últimos tienen
la capacidad de afectar la eficiencia de los satisfactores.
Los satisfactores pueden ordenarse y desglosarse dentro de los cruces de una matriz que, por un  lado, clasifica las necesidades según las categorías existenciales de ser, tener, hacer y estar; y por el otro, las clasifica según categorías axiológicas de subsistencia, protección, afecto, entendimiento, participación, ocio, creación, identidad y libertad.
La matriz que se presenta en el cuadro 1 no es de ninguna manera normativa. Es solo un ejemplo de tipos de satisfactores posibles. De hecho, cada persona o cada grupo puede construir y llenar la suya según sea su cultura, su tiempo, su lugar o sus circunstancias, o bien según sus limitaciones o sus aspiraciones.
De la observación de los distintos casilleros de la matriz que contienen propuestas de satisfactores posibles, se desprende que muchos de los satisfactores indicados pueden dar origen a diversos bienes económicos. Si se escoge, por ejemplo, el casillero 15 que indica formas del hacer para satisfacer la necesidad de entendimiento, se encuentran satisfactores como investigar, estudiar, experimentar, educar, analizar, meditar e interpretar. Ellos dan origen a bienes económicos, según sea la cultura y sus recursos, tales como libros, instrumentos de laboratorio, herramientas, computadoras y otros artefactos. La función de estos es, ciertamente, la de potenciar el hacer del entendimiento.
</t>
  </si>
  <si>
    <r>
      <rPr>
        <b/>
        <sz val="12"/>
        <color theme="1"/>
        <rFont val="Calibri"/>
        <family val="2"/>
        <scheme val="minor"/>
      </rPr>
      <t>(1)</t>
    </r>
    <r>
      <rPr>
        <sz val="12"/>
        <color theme="1"/>
        <rFont val="Calibri"/>
        <family val="2"/>
        <scheme val="minor"/>
      </rPr>
      <t xml:space="preserve"> Salud física y mental, equilibrio, solidaridad, humor, adaptabilidad </t>
    </r>
  </si>
  <si>
    <r>
      <rPr>
        <b/>
        <sz val="12"/>
        <color theme="1"/>
        <rFont val="Calibri"/>
        <family val="2"/>
        <scheme val="minor"/>
      </rPr>
      <t xml:space="preserve">(2) </t>
    </r>
    <r>
      <rPr>
        <sz val="12"/>
        <color theme="1"/>
        <rFont val="Calibri"/>
        <family val="2"/>
        <scheme val="minor"/>
      </rPr>
      <t xml:space="preserve">Alimentación, abrigo, trabajo </t>
    </r>
  </si>
  <si>
    <r>
      <rPr>
        <b/>
        <sz val="12"/>
        <color theme="1"/>
        <rFont val="Calibri"/>
        <family val="2"/>
        <scheme val="minor"/>
      </rPr>
      <t>(3)</t>
    </r>
    <r>
      <rPr>
        <sz val="12"/>
        <color theme="1"/>
        <rFont val="Calibri"/>
        <family val="2"/>
        <scheme val="minor"/>
      </rPr>
      <t xml:space="preserve"> Alimentar, procrear, descansar, trabajar </t>
    </r>
  </si>
  <si>
    <r>
      <rPr>
        <b/>
        <sz val="12"/>
        <color theme="1"/>
        <rFont val="Calibri"/>
        <family val="2"/>
        <scheme val="minor"/>
      </rPr>
      <t>(4)</t>
    </r>
    <r>
      <rPr>
        <sz val="12"/>
        <color theme="1"/>
        <rFont val="Calibri"/>
        <family val="2"/>
        <scheme val="minor"/>
      </rPr>
      <t xml:space="preserve"> Entorno vital, entorno social</t>
    </r>
  </si>
  <si>
    <r>
      <rPr>
        <b/>
        <sz val="12"/>
        <color theme="1"/>
        <rFont val="Calibri"/>
        <family val="2"/>
        <scheme val="minor"/>
      </rPr>
      <t>(5)</t>
    </r>
    <r>
      <rPr>
        <sz val="12"/>
        <color theme="1"/>
        <rFont val="Calibri"/>
        <family val="2"/>
        <scheme val="minor"/>
      </rPr>
      <t xml:space="preserve"> Cuidado, adaptabilidad, autonomía, equilibrio, solidaridad </t>
    </r>
  </si>
  <si>
    <r>
      <rPr>
        <b/>
        <sz val="12"/>
        <color theme="1"/>
        <rFont val="Calibri"/>
        <family val="2"/>
        <scheme val="minor"/>
      </rPr>
      <t>(6)</t>
    </r>
    <r>
      <rPr>
        <sz val="12"/>
        <color theme="1"/>
        <rFont val="Calibri"/>
        <family val="2"/>
        <scheme val="minor"/>
      </rPr>
      <t xml:space="preserve"> Sistemas de seguros, ahorro, seguridad social, sistemas de salud. legislaciones, derechos, familia. Trabajo</t>
    </r>
  </si>
  <si>
    <r>
      <rPr>
        <b/>
        <sz val="12"/>
        <color theme="1"/>
        <rFont val="Calibri"/>
        <family val="2"/>
        <scheme val="minor"/>
      </rPr>
      <t xml:space="preserve"> (7)</t>
    </r>
    <r>
      <rPr>
        <sz val="12"/>
        <color theme="1"/>
        <rFont val="Calibri"/>
        <family val="2"/>
        <scheme val="minor"/>
      </rPr>
      <t xml:space="preserve"> Cooperar, prevenir, planificar, cuidar, curar, defender </t>
    </r>
  </si>
  <si>
    <r>
      <rPr>
        <b/>
        <sz val="12"/>
        <color theme="1"/>
        <rFont val="Calibri"/>
        <family val="2"/>
        <scheme val="minor"/>
      </rPr>
      <t xml:space="preserve">(8) </t>
    </r>
    <r>
      <rPr>
        <sz val="12"/>
        <color theme="1"/>
        <rFont val="Calibri"/>
        <family val="2"/>
        <scheme val="minor"/>
      </rPr>
      <t>Entorno vital, entorno social, morada</t>
    </r>
  </si>
  <si>
    <r>
      <rPr>
        <b/>
        <sz val="12"/>
        <color theme="1"/>
        <rFont val="Calibri"/>
        <family val="2"/>
        <scheme val="minor"/>
      </rPr>
      <t xml:space="preserve">(9) </t>
    </r>
    <r>
      <rPr>
        <sz val="12"/>
        <color theme="1"/>
        <rFont val="Calibri"/>
        <family val="2"/>
        <scheme val="minor"/>
      </rPr>
      <t>Autoestima, solidaridad, respeto, tolerancia, generosidad, receptividad, pasión, voluntad, sensualidad, humor</t>
    </r>
  </si>
  <si>
    <r>
      <rPr>
        <b/>
        <sz val="12"/>
        <color theme="1"/>
        <rFont val="Calibri"/>
        <family val="2"/>
        <scheme val="minor"/>
      </rPr>
      <t xml:space="preserve">(10) </t>
    </r>
    <r>
      <rPr>
        <sz val="12"/>
        <color theme="1"/>
        <rFont val="Calibri"/>
        <family val="2"/>
        <scheme val="minor"/>
      </rPr>
      <t xml:space="preserve">Amistades, parejas, familia, animales domésticos, plantas, jardines </t>
    </r>
  </si>
  <si>
    <r>
      <rPr>
        <b/>
        <sz val="12"/>
        <color theme="1"/>
        <rFont val="Calibri"/>
        <family val="2"/>
        <scheme val="minor"/>
      </rPr>
      <t>(11)</t>
    </r>
    <r>
      <rPr>
        <sz val="12"/>
        <color theme="1"/>
        <rFont val="Calibri"/>
        <family val="2"/>
        <scheme val="minor"/>
      </rPr>
      <t xml:space="preserve"> Hacer el amor, acariciar, expresar emociones, compartir, cuidar, cultivar, apreciar </t>
    </r>
  </si>
  <si>
    <r>
      <rPr>
        <b/>
        <sz val="12"/>
        <color theme="1"/>
        <rFont val="Calibri"/>
        <family val="2"/>
        <scheme val="minor"/>
      </rPr>
      <t xml:space="preserve">(12) </t>
    </r>
    <r>
      <rPr>
        <sz val="12"/>
        <color theme="1"/>
        <rFont val="Calibri"/>
        <family val="2"/>
        <scheme val="minor"/>
      </rPr>
      <t>Privacidad, intimidad, hogar, espacios de encuentro</t>
    </r>
  </si>
  <si>
    <r>
      <rPr>
        <b/>
        <sz val="12"/>
        <color theme="1"/>
        <rFont val="Calibri"/>
        <family val="2"/>
        <scheme val="minor"/>
      </rPr>
      <t>(13)</t>
    </r>
    <r>
      <rPr>
        <sz val="12"/>
        <color theme="1"/>
        <rFont val="Calibri"/>
        <family val="2"/>
        <scheme val="minor"/>
      </rPr>
      <t xml:space="preserve"> Conciencia crítica, receptividad, curiosidad, asombro, disciplina, intuición, racionalidad </t>
    </r>
  </si>
  <si>
    <r>
      <rPr>
        <b/>
        <sz val="12"/>
        <color theme="1"/>
        <rFont val="Calibri"/>
        <family val="2"/>
        <scheme val="minor"/>
      </rPr>
      <t>(14)</t>
    </r>
    <r>
      <rPr>
        <sz val="12"/>
        <color theme="1"/>
        <rFont val="Calibri"/>
        <family val="2"/>
        <scheme val="minor"/>
      </rPr>
      <t xml:space="preserve"> Literatura, maestros, método, políticas educacionales, políticas comunicacionales</t>
    </r>
  </si>
  <si>
    <r>
      <rPr>
        <b/>
        <sz val="12"/>
        <color theme="1"/>
        <rFont val="Calibri"/>
        <family val="2"/>
        <scheme val="minor"/>
      </rPr>
      <t xml:space="preserve"> (15)</t>
    </r>
    <r>
      <rPr>
        <sz val="12"/>
        <color theme="1"/>
        <rFont val="Calibri"/>
        <family val="2"/>
        <scheme val="minor"/>
      </rPr>
      <t xml:space="preserve"> Investigar, estudiar, experimentar, educar, analizar, meditar, interpretar </t>
    </r>
  </si>
  <si>
    <r>
      <rPr>
        <b/>
        <sz val="12"/>
        <color theme="1"/>
        <rFont val="Calibri"/>
        <family val="2"/>
        <scheme val="minor"/>
      </rPr>
      <t xml:space="preserve">(16) </t>
    </r>
    <r>
      <rPr>
        <sz val="12"/>
        <color theme="1"/>
        <rFont val="Calibri"/>
        <family val="2"/>
        <scheme val="minor"/>
      </rPr>
      <t>Ámbitos de interacción formativa: escuelas, universidades, academias, agrupaciones, comunidades, familia</t>
    </r>
  </si>
  <si>
    <r>
      <rPr>
        <b/>
        <sz val="12"/>
        <color theme="1"/>
        <rFont val="Calibri"/>
        <family val="2"/>
        <scheme val="minor"/>
      </rPr>
      <t xml:space="preserve">(17) </t>
    </r>
    <r>
      <rPr>
        <sz val="12"/>
        <color theme="1"/>
        <rFont val="Calibri"/>
        <family val="2"/>
        <scheme val="minor"/>
      </rPr>
      <t xml:space="preserve">Adaptabilidad receptividad, solidaridad disposición, convicción entrega, respeto, pasión humor </t>
    </r>
  </si>
  <si>
    <r>
      <rPr>
        <b/>
        <sz val="12"/>
        <color theme="1"/>
        <rFont val="Calibri"/>
        <family val="2"/>
        <scheme val="minor"/>
      </rPr>
      <t>(18)</t>
    </r>
    <r>
      <rPr>
        <sz val="12"/>
        <color theme="1"/>
        <rFont val="Calibri"/>
        <family val="2"/>
        <scheme val="minor"/>
      </rPr>
      <t xml:space="preserve"> Derechos, responsabilidades, obligaciones, atribuciones, trabajo </t>
    </r>
  </si>
  <si>
    <r>
      <rPr>
        <b/>
        <sz val="12"/>
        <color theme="1"/>
        <rFont val="Calibri"/>
        <family val="2"/>
        <scheme val="minor"/>
      </rPr>
      <t>(19)</t>
    </r>
    <r>
      <rPr>
        <sz val="12"/>
        <color theme="1"/>
        <rFont val="Calibri"/>
        <family val="2"/>
        <scheme val="minor"/>
      </rPr>
      <t xml:space="preserve"> Afiliarse, cooperar, proponer, compartir, discrepar, acatar, dialogar, acordar, opinar</t>
    </r>
  </si>
  <si>
    <r>
      <rPr>
        <b/>
        <sz val="12"/>
        <color theme="1"/>
        <rFont val="Calibri"/>
        <family val="2"/>
        <scheme val="minor"/>
      </rPr>
      <t>(20)</t>
    </r>
    <r>
      <rPr>
        <sz val="12"/>
        <color theme="1"/>
        <rFont val="Calibri"/>
        <family val="2"/>
        <scheme val="minor"/>
      </rPr>
      <t xml:space="preserve"> Ámbitos de interacción participativa: partidos, asociaciones, iglesias, comunidades, vecindarios, familias</t>
    </r>
  </si>
  <si>
    <r>
      <rPr>
        <b/>
        <sz val="12"/>
        <color theme="1"/>
        <rFont val="Calibri"/>
        <family val="2"/>
        <scheme val="minor"/>
      </rPr>
      <t xml:space="preserve">(21) </t>
    </r>
    <r>
      <rPr>
        <sz val="12"/>
        <color theme="1"/>
        <rFont val="Calibri"/>
        <family val="2"/>
        <scheme val="minor"/>
      </rPr>
      <t xml:space="preserve">Curiosidad, receptividad, imaginación, despreocupación, humor, tranquilidad, sensualidad </t>
    </r>
  </si>
  <si>
    <r>
      <rPr>
        <b/>
        <sz val="12"/>
        <color theme="1"/>
        <rFont val="Calibri"/>
        <family val="2"/>
        <scheme val="minor"/>
      </rPr>
      <t xml:space="preserve">(22) </t>
    </r>
    <r>
      <rPr>
        <sz val="12"/>
        <color theme="1"/>
        <rFont val="Calibri"/>
        <family val="2"/>
        <scheme val="minor"/>
      </rPr>
      <t>Juegos, espectáculos, fiestas, calma</t>
    </r>
  </si>
  <si>
    <r>
      <rPr>
        <b/>
        <sz val="12"/>
        <color theme="1"/>
        <rFont val="Calibri"/>
        <family val="2"/>
        <scheme val="minor"/>
      </rPr>
      <t xml:space="preserve">(23) </t>
    </r>
    <r>
      <rPr>
        <sz val="12"/>
        <color theme="1"/>
        <rFont val="Calibri"/>
        <family val="2"/>
        <scheme val="minor"/>
      </rPr>
      <t>Divagar, abstraerse, soñar, añorar, fantasear, evocar, relajarse, divertirse, jugar</t>
    </r>
  </si>
  <si>
    <r>
      <rPr>
        <b/>
        <sz val="12"/>
        <color theme="1"/>
        <rFont val="Calibri"/>
        <family val="2"/>
        <scheme val="minor"/>
      </rPr>
      <t xml:space="preserve">(24) </t>
    </r>
    <r>
      <rPr>
        <sz val="12"/>
        <color theme="1"/>
        <rFont val="Calibri"/>
        <family val="2"/>
        <scheme val="minor"/>
      </rPr>
      <t>Privacidad, intimidad, espacios de encuentro, tiempo libre, ambientes, paisajes</t>
    </r>
  </si>
  <si>
    <r>
      <rPr>
        <b/>
        <sz val="12"/>
        <color theme="1"/>
        <rFont val="Calibri"/>
        <family val="2"/>
        <scheme val="minor"/>
      </rPr>
      <t>(25)</t>
    </r>
    <r>
      <rPr>
        <sz val="12"/>
        <color theme="1"/>
        <rFont val="Calibri"/>
        <family val="2"/>
        <scheme val="minor"/>
      </rPr>
      <t xml:space="preserve"> Pasión, voluntad, intuición, imaginación, audacia, racionalidad, autonomía, inventiva, curiosidad</t>
    </r>
  </si>
  <si>
    <r>
      <rPr>
        <b/>
        <sz val="12"/>
        <color theme="1"/>
        <rFont val="Calibri"/>
        <family val="2"/>
        <scheme val="minor"/>
      </rPr>
      <t xml:space="preserve">(26) </t>
    </r>
    <r>
      <rPr>
        <sz val="12"/>
        <color theme="1"/>
        <rFont val="Calibri"/>
        <family val="2"/>
        <scheme val="minor"/>
      </rPr>
      <t xml:space="preserve">Habilidades, destrezas, método, trabajo </t>
    </r>
  </si>
  <si>
    <r>
      <rPr>
        <b/>
        <sz val="12"/>
        <color theme="1"/>
        <rFont val="Calibri"/>
        <family val="2"/>
        <scheme val="minor"/>
      </rPr>
      <t xml:space="preserve">(27) </t>
    </r>
    <r>
      <rPr>
        <sz val="12"/>
        <color theme="1"/>
        <rFont val="Calibri"/>
        <family val="2"/>
        <scheme val="minor"/>
      </rPr>
      <t xml:space="preserve">Trabajar, inventar, construir, idear, componer, diseñar, interpretar </t>
    </r>
  </si>
  <si>
    <r>
      <rPr>
        <b/>
        <sz val="12"/>
        <color theme="1"/>
        <rFont val="Calibri"/>
        <family val="2"/>
        <scheme val="minor"/>
      </rPr>
      <t xml:space="preserve">(28) </t>
    </r>
    <r>
      <rPr>
        <sz val="12"/>
        <color theme="1"/>
        <rFont val="Calibri"/>
        <family val="2"/>
        <scheme val="minor"/>
      </rPr>
      <t>Ámbitos de producción y retroalimentación: talleres, ateneos, agrupaciones, audiencias, espacios de expresión, libertad temporal</t>
    </r>
  </si>
  <si>
    <r>
      <rPr>
        <b/>
        <sz val="12"/>
        <color theme="1"/>
        <rFont val="Calibri"/>
        <family val="2"/>
        <scheme val="minor"/>
      </rPr>
      <t>(29)</t>
    </r>
    <r>
      <rPr>
        <sz val="12"/>
        <color theme="1"/>
        <rFont val="Calibri"/>
        <family val="2"/>
        <scheme val="minor"/>
      </rPr>
      <t xml:space="preserve"> Pertenencia, coherencia, diferenciación, autoestima, asertividad </t>
    </r>
  </si>
  <si>
    <r>
      <rPr>
        <b/>
        <sz val="12"/>
        <color theme="1"/>
        <rFont val="Calibri"/>
        <family val="2"/>
        <scheme val="minor"/>
      </rPr>
      <t>(30)</t>
    </r>
    <r>
      <rPr>
        <sz val="12"/>
        <color theme="1"/>
        <rFont val="Calibri"/>
        <family val="2"/>
        <scheme val="minor"/>
      </rPr>
      <t xml:space="preserve"> Símbolos, lenguaje, hábitos, costumbres, grupos de referencia, sexualidad, valores, normas, roles, memoria histórica, trabajo </t>
    </r>
  </si>
  <si>
    <r>
      <rPr>
        <b/>
        <sz val="12"/>
        <color theme="1"/>
        <rFont val="Calibri"/>
        <family val="2"/>
        <scheme val="minor"/>
      </rPr>
      <t>(31)</t>
    </r>
    <r>
      <rPr>
        <sz val="12"/>
        <color theme="1"/>
        <rFont val="Calibri"/>
        <family val="2"/>
        <scheme val="minor"/>
      </rPr>
      <t xml:space="preserve"> Comprometerse, integrarse, confrontarse, definirse, conocerse, reconocerse, actualizarse, crecer</t>
    </r>
  </si>
  <si>
    <r>
      <rPr>
        <b/>
        <sz val="12"/>
        <color theme="1"/>
        <rFont val="Calibri"/>
        <family val="2"/>
        <scheme val="minor"/>
      </rPr>
      <t>(32)</t>
    </r>
    <r>
      <rPr>
        <sz val="12"/>
        <color theme="1"/>
        <rFont val="Calibri"/>
        <family val="2"/>
        <scheme val="minor"/>
      </rPr>
      <t xml:space="preserve"> Socio-ritmos, entornos de la cotidianeidad, ámbitos de pertenencia, etapas madurativas</t>
    </r>
  </si>
  <si>
    <r>
      <rPr>
        <b/>
        <sz val="12"/>
        <color theme="1"/>
        <rFont val="Calibri"/>
        <family val="2"/>
        <scheme val="minor"/>
      </rPr>
      <t xml:space="preserve">(33) </t>
    </r>
    <r>
      <rPr>
        <sz val="12"/>
        <color theme="1"/>
        <rFont val="Calibri"/>
        <family val="2"/>
        <scheme val="minor"/>
      </rPr>
      <t>Autonomía, autoestima, voluntad, pasión, asertividad, apertura, determinación, audacia, rebeldía, tolerancia</t>
    </r>
  </si>
  <si>
    <r>
      <rPr>
        <b/>
        <sz val="12"/>
        <color theme="1"/>
        <rFont val="Calibri"/>
        <family val="2"/>
        <scheme val="minor"/>
      </rPr>
      <t xml:space="preserve">(34) </t>
    </r>
    <r>
      <rPr>
        <sz val="12"/>
        <color theme="1"/>
        <rFont val="Calibri"/>
        <family val="2"/>
        <scheme val="minor"/>
      </rPr>
      <t xml:space="preserve">Igualdad de derechos </t>
    </r>
  </si>
  <si>
    <r>
      <rPr>
        <b/>
        <sz val="12"/>
        <color theme="1"/>
        <rFont val="Calibri"/>
        <family val="2"/>
        <scheme val="minor"/>
      </rPr>
      <t xml:space="preserve">(35) </t>
    </r>
    <r>
      <rPr>
        <sz val="12"/>
        <color theme="1"/>
        <rFont val="Calibri"/>
        <family val="2"/>
        <scheme val="minor"/>
      </rPr>
      <t>Discrepar, optar, diferenciarse, arriesgar, conocerse, asumirse, desobedecer, meditar</t>
    </r>
  </si>
  <si>
    <r>
      <rPr>
        <b/>
        <sz val="12"/>
        <color theme="1"/>
        <rFont val="Calibri"/>
        <family val="2"/>
        <scheme val="minor"/>
      </rPr>
      <t xml:space="preserve">(36) </t>
    </r>
    <r>
      <rPr>
        <sz val="12"/>
        <color theme="1"/>
        <rFont val="Calibri"/>
        <family val="2"/>
        <scheme val="minor"/>
      </rPr>
      <t>Plasticidad espacio-temporal</t>
    </r>
  </si>
  <si>
    <t>Subsistencia:</t>
  </si>
  <si>
    <t>Subsistencia</t>
  </si>
  <si>
    <t>1. (1) Salud física y mental:</t>
  </si>
  <si>
    <t>2. (2) Alimentación, abrigo, trabajo:</t>
  </si>
  <si>
    <t>3. (3) Alimentar, procrear, descansar, trabajar:</t>
  </si>
  <si>
    <t>4. (4) Entorno vital, entorno social:</t>
  </si>
  <si>
    <t>Protección</t>
  </si>
  <si>
    <t>5. (5) Cuidado, adaptabilidad, autonomía:</t>
  </si>
  <si>
    <t>6. (6) Sistemas de seguros, ahorro, seguridad social:</t>
  </si>
  <si>
    <t>7. (7) Cooperar, prevenir, planificar:</t>
  </si>
  <si>
    <t>8. (8) Entorno vital, entorno social, morada:</t>
  </si>
  <si>
    <t>9. (9) Autoestima, solidaridad, respeto:</t>
  </si>
  <si>
    <t>10. (10) Amistades, parejas, familia:</t>
  </si>
  <si>
    <t>11. (11) Hacer el amor, expresar emociones:</t>
  </si>
  <si>
    <t>12. (12) Privacidad, intimidad, hogar:</t>
  </si>
  <si>
    <t>Entendimiento</t>
  </si>
  <si>
    <t>13. (13) Conciencia crítica, receptividad, curiosidad:</t>
  </si>
  <si>
    <t>14. (14) Literatura, maestros, método:</t>
  </si>
  <si>
    <t>15. (15) Investigar, estudiar, experimentar:</t>
  </si>
  <si>
    <t>16. (16) Ámbitos de interacción formativa:</t>
  </si>
  <si>
    <t>Participación</t>
  </si>
  <si>
    <t>17. (17) Adaptabilidad, receptividad, solidaridad:</t>
  </si>
  <si>
    <t>18. (18) Derechos, responsabilidades, obligaciones:</t>
  </si>
  <si>
    <t>19. (19) Afiliarse, cooperar, proponer:</t>
  </si>
  <si>
    <t>20. (20) Ámbitos de interacción participativa:</t>
  </si>
  <si>
    <t>21. (21) Curiosidad, imaginación, humor:</t>
  </si>
  <si>
    <t>22. (22) Juegos, espectáculos, fiestas:</t>
  </si>
  <si>
    <t>23. (23) Divagar, abstraerse, soñar:</t>
  </si>
  <si>
    <t>24. (24) Privacidad, espacios de encuentro:</t>
  </si>
  <si>
    <t>Creación</t>
  </si>
  <si>
    <t>25. (25) Pasión, voluntad, imaginación:</t>
  </si>
  <si>
    <t>26. (26) Habilidades, destrezas, método:</t>
  </si>
  <si>
    <t>27. (27) Trabajar, inventar, construir:</t>
  </si>
  <si>
    <t>28. (28) Ámbitos de producción:</t>
  </si>
  <si>
    <t>29. (29) Pertenencia, autoestima, coherencia:</t>
  </si>
  <si>
    <t>30. (30) Símbolos, hábitos, costumbres:</t>
  </si>
  <si>
    <t>31. (31) Comprometerse, reconocerse:</t>
  </si>
  <si>
    <t>32. (32) Socio-ritmos, cotidianeidad:</t>
  </si>
  <si>
    <t>Libertad</t>
  </si>
  <si>
    <t>33. (33) Autonomía, autoestima, voluntad:</t>
  </si>
  <si>
    <t>34. (34) Igualdad de derechos:</t>
  </si>
  <si>
    <t>35. (35) Diferenciarse, arriesgar:</t>
  </si>
  <si>
    <t>36. (36) Plasticidad espacio-temporal:</t>
  </si>
  <si>
    <t>RECOMENDACIÓN: Evalúa tus hábitos diarios y establece pequeñas metas para mejorar tu bienestar. Incorpora actividades como caminar 30 minutos al día, meditar antes de dormir o practicar un deporte que disfrutes. Además, si sientes estrés o ansiedad, busca apoyo emocional o terapéutico.</t>
  </si>
  <si>
    <t>RECOMENDACIÓN: Establece un horario equilibrado entre el trabajo, el descanso y la vida personal. Asegúrate de dormir al menos 7 horas y desconéctate de las pantallas antes de acostarte.</t>
  </si>
  <si>
    <t>RECOMENDACIÓN: Organiza y decora tu espacio vital de manera que sea limpio, seguro y cómodo. Esto incluye iluminación adecuada, limpieza regular y elementos personales que te hagan sentir bien.</t>
  </si>
  <si>
    <t>RECOMENDACIÓN: Aprende a identificar tus necesidades y establecer límites saludables en tus relaciones. Desarrolla habilidades de resolución de conflictos para adaptarte mejor a cambios inesperados.</t>
  </si>
  <si>
    <t>RECOMENDACIÓN: Investiga sobre opciones de seguros médicos o financieros, y establece un plan de ahorro aunque sea con pequeñas cantidades al mes. Esto ayudará a protegerte ante emergencias.</t>
  </si>
  <si>
    <t>RECOMENDACIÓN: Practica la comunicación en equipo y trabaja en planes preventivos, como listas de tareas o estrategias para resolver problemas comunes.</t>
  </si>
  <si>
    <t>RECOMENDACIÓN: Fomenta un espacio que brinde seguridad emocional y física. Esto incluye reparar cosas dañadas y establecer rutinas que te ayuden a sentirte protegido.</t>
  </si>
  <si>
    <t>RECOMENDACIÓN: Practica la gratitud y reconoce tus logros diarios, incluso los más pequeños. Busca actividades que fomenten la conexión con los demás, como el voluntariado.</t>
  </si>
  <si>
    <t>RECOMENDACIÓN: Dedica tiempo a fortalecer tus relaciones. Escucha activamente, muestra interés genuino y organiza encuentros regulares.</t>
  </si>
  <si>
    <t>RECOMENDACIÓN: Aprende a identificar y expresar tus emociones de manera adecuada. Esto puede incluir escribir en un diario o hablar con alguien en quien confíes.</t>
  </si>
  <si>
    <t>RECOMENDACIÓN: Reserva un tiempo y un espacio para ti, donde puedas reflexionar o relajarte sin interrupciones. Esto refuerza tu bienestar emocional.</t>
  </si>
  <si>
    <t>RECOMENDACIÓN: Explora temas nuevos y cuestiona ideas preconcebidas. Participa en debates o grupos de estudio para intercambiar perspectivas.</t>
  </si>
  <si>
    <t>RECOMENDACIÓN: Busca mentores o guías que te ayuden a adquirir nuevas habilidades o conocimientos. Utiliza recursos digitales para aprender.</t>
  </si>
  <si>
    <t>RECOMENDACIÓN: Realiza pequeños proyectos para aprender practicando. Investiga temas que te apasionen y documenta lo que encuentres.</t>
  </si>
  <si>
    <t>RECOMENDACIÓN: Participa activamente en espacios educativos como talleres, seminarios o comunidades de aprendizaje.</t>
  </si>
  <si>
    <t>RECOMENDACIÓN: Trabaja en ser más flexible ante cambios y muestra disposición para colaborar con otros. Escucha activamente las opiniones de los demás y propón soluciones conjuntas.</t>
  </si>
  <si>
    <t>RECOMENDACIÓN: Infórmate sobre tus derechos y deberes, y busca equilibrar tus responsabilidades personales y grupales.</t>
  </si>
  <si>
    <t>RECOMENDACIÓN: Busca participar en comunidades o grupos donde puedas compartir ideas y colaborar activamente. Propón iniciativas que beneficien al grupo.</t>
  </si>
  <si>
    <t>RECOMENDACIÓN: Identifica espacios donde puedas involucrarte y contribuir. Esto puede ser en organizaciones vecinales, clubes o incluso en redes sociales con propósitos positivos.</t>
  </si>
  <si>
    <t>RECOMENDACIÓN: Dedica tiempo a actividades que te inspiren y te relajen. Explora hobbies nuevos o retoma pasatiempos que dejaste. El humor también es clave para mantenerte positivo.</t>
  </si>
  <si>
    <t>RECOMENDACIÓN: Incorpora actividades recreativas a tu rutina, ya sea solo o con amigos. Esto puede incluir ver películas, asistir a eventos culturales o planificar salidas.</t>
  </si>
  <si>
    <t>RECOMENDACIÓN: Dedica un tiempo a desconectarte y dejar volar tu imaginación. Visualiza tus metas y piensa en cómo puedes alcanzarlas.</t>
  </si>
  <si>
    <t>RECOMENDACIÓN: Busca momentos para estar contigo mismo en un espacio tranquilo. También, encuentra lugares donde puedas compartir con otros sin distracciones.</t>
  </si>
  <si>
    <t>RECOMENDACIÓN: Identifica actividades que te apasionen y encuentra tiempo para desarrollarlas. Permítete experimentar con proyectos que estimulen tu creatividad.</t>
  </si>
  <si>
    <t>RECOMENDACIÓN: Aprende nuevas técnicas o perfecciona las que ya tienes. Busca tutoriales, toma clases o practica en casa.</t>
  </si>
  <si>
    <t>RECOMENDACIÓN: Busca proyectos que te permitan crear algo tangible, como manualidades, prototipos o ideas innovadoras.</t>
  </si>
  <si>
    <t>RECOMENDACIÓN: Únete a talleres o grupos que fomenten la creatividad y la colaboración. Estos espacios te ayudan a recibir retroalimentación valiosa.</t>
  </si>
  <si>
    <t>RECOMENDACIÓN: Reflexiona sobre tu lugar en los grupos a los que perteneces y cómo te sientes en ellos. Refuerza tu autoestima reconociendo tus logros y contribuciones.</t>
  </si>
  <si>
    <t>RECOMENDACIÓN: Reconoce los símbolos y tradiciones que son importantes para ti, y busca formas de integrarlos en tu vida diaria.</t>
  </si>
  <si>
    <t>RECOMENDACIÓN: Dedica tiempo a conocerte mejor y comprométete con proyectos que te ayuden a crecer. Esto puede incluir participar en actividades que desafíen tus habilidades.</t>
  </si>
  <si>
    <t>RECOMENDACIÓN: Encuentra un equilibrio entre tus rutinas diarias y momentos de espontaneidad. Identifica actividades que te ayuden a sentirte conectado con tu entorno.</t>
  </si>
  <si>
    <t>RECOMENDACIÓN: Trabaja en ser más independiente y tomar decisiones alineadas con tus valores. Reconoce tu capacidad para superar desafíos.</t>
  </si>
  <si>
    <t>RECOMENDACIÓN: Involúcrate en actividades o proyectos que promuevan la igualdad y el respeto mutuo. Reflexiona sobre cómo puedes contribuir a un entorno más equitativo.</t>
  </si>
  <si>
    <t>RECOMENDACIÓN: Identifica lo que te hace único y busca formas de expresarlo. Atrévete a salir de tu zona de confort en situaciones sociales o profesionales.</t>
  </si>
  <si>
    <t>RECOMENDACIÓN: Adapta tus horarios y espacios a tus necesidades actuales. Practica la flexibilidad para gestionar mejor los cambios inesperados.</t>
  </si>
  <si>
    <t>¡Por supuesto! Aquí está una versión ampliada de las recomendaciones, incluyendo EJEMPLOs prácticos para cada una:</t>
  </si>
  <si>
    <t>EJEMPLO: Si no tienes una rutina de ejercicio, comienza con una caminata breve después de las comidas y aumenta gradualmente el tiempo.</t>
  </si>
  <si>
    <t>RECOMENDACIÓN: Asegúrate de cubrir tus necesidades básicas a través de la planificación. Por EJEMPLO, organiza un presupuesto semanal para alimentos y ropa, priorizando calidad sobre cantidad. Si necesitas empleo, revisa tu currículum y explora oportunidades locales.</t>
  </si>
  <si>
    <t>EJEMPLO: Si tu dieta no es equilibrada, incluye una fruta y una verdura en cada comida para mejorar tu nutrición.</t>
  </si>
  <si>
    <t>EJEMPLO: Si trabajas largas horas sin descanso, programa pausas cada dos horas para caminar o tomar agua.</t>
  </si>
  <si>
    <t>EJEMPLO: Si tu habitación está desordenada, dedica 15 minutos al día para organizarla y crear un ambiente más relajante.</t>
  </si>
  <si>
    <t>EJEMPLO: Si te cuesta decir "no", practica respuestas asertivas en situaciones cotidianas, como rechazar tareas que no puedes asumir.</t>
  </si>
  <si>
    <t>EJEMPLO: Si no tienes un fondo de emergencia, ahorra $10 semanales y deposítalos en una cuenta separada.</t>
  </si>
  <si>
    <t>EJEMPLO: Si vives con otros, organiza reuniones semanales para distribuir responsabilidades en casa.</t>
  </si>
  <si>
    <t>EJEMPLO: Si tu casa es ruidosa, usa auriculares o define momentos de silencio para concentrarte o descansar.</t>
  </si>
  <si>
    <t>EJEMPLO: Escribe cada noche tres cosas positivas que lograste durante el día.</t>
  </si>
  <si>
    <t>EJEMPLO: Organiza una cena en casa e invita a amigos o familiares para reconectar.</t>
  </si>
  <si>
    <t>EJEMPLO: Si te sientes frustrado, escribe cómo te sientes y luego conversa con alguien sobre el tema.</t>
  </si>
  <si>
    <t>EJEMPLO: Crea un rincón en casa con velas y un libro favorito donde puedas desconectarte del estrés.</t>
  </si>
  <si>
    <t>EJEMPLO: Únete a un club de lectura para compartir tus opiniones sobre diferentes libros.</t>
  </si>
  <si>
    <t>EJEMPLO: Inscríbete en un curso en línea sobre un tema que te interese.</t>
  </si>
  <si>
    <t>EJEMPLO: Si te interesa la fotografía, toma un tema semanal y practica técnicas relacionadas.</t>
  </si>
  <si>
    <t>EJEMPLO: Únete a un grupo de estudio en tu universidad o busca webinars en áreas de interés.</t>
  </si>
  <si>
    <t>EJEMPLO: Si alguien en tu grupo tiene un enfoque diferente, escucha su punto de vista antes de expresar el tuyo.</t>
  </si>
  <si>
    <t>EJEMPLO: Si en casa asumes muchas tareas, organiza una lista compartida para distribuir las responsabilidades de manera equitativa.</t>
  </si>
  <si>
    <t>EJEMPLO: Únete a un club o asociación local y sugiere una actividad, como una campaña de limpieza en la comunidad.</t>
  </si>
  <si>
    <t>EJEMPLO: Si te interesa la protección del medio ambiente, participa en eventos de reforestación o limpieza de parques.</t>
  </si>
  <si>
    <t>EJEMPLO: Si te gusta pintar pero lo has dejado de lado, retoma con algo sencillo como un dibujo en tu cuaderno.</t>
  </si>
  <si>
    <t>EJEMPLO: Organiza una tarde de juegos de mesa con amigos o familiares para desconectar del trabajo o estudio.</t>
  </si>
  <si>
    <t>EJEMPLO: Toma un cuaderno y escribe ideas o sueños que te gustaría cumplir en los próximos cinco años.</t>
  </si>
  <si>
    <t>EJEMPLO: Encuentra un parque cercano para leer o relajarte, y organiza un picnic con amigos en el mismo lugar.</t>
  </si>
  <si>
    <t>EJEMPLO: Si te gusta escribir, empieza con un cuento corto o un diario de ideas creativas.</t>
  </si>
  <si>
    <t>EJEMPLO: Si siempre quisiste aprender a tocar la guitarra, dedica 15 minutos al día a practicar acordes básicos.</t>
  </si>
  <si>
    <t>EJEMPLO: Si tienes una idea para un organizador de escritorio, utiliza materiales reciclados para construirlo.</t>
  </si>
  <si>
    <t>EJEMPLO: Participa en un club de teatro local o en un taller de arte donde puedas compartir tus creaciones.</t>
  </si>
  <si>
    <t>EJEMPLO: Si te sientes desconectado de tu grupo de amigos, organiza un encuentro para fortalecer el vínculo.</t>
  </si>
  <si>
    <t>EJEMPLO: Si tienes raíces culturales fuertes, celebra las tradiciones familiares con mayor regularidad.</t>
  </si>
  <si>
    <t>EJEMPLO: Si te cuesta hablar en público, inscríbete en un taller de oratoria.</t>
  </si>
  <si>
    <t>EJEMPLO: Si sientes monotonía, varía tus rutas al trabajo o explora un nuevo café en tu vecindario.</t>
  </si>
  <si>
    <t>EJEMPLO: Si siempre dependes de otros para resolver problemas, intenta resolver uno por tu cuenta y celebra el logro.</t>
  </si>
  <si>
    <t>EJEMPLO: Participa como voluntario en una organización que defienda los derechos humanos.</t>
  </si>
  <si>
    <t>EJEMPLO: Si siempre sigues las mismas rutinas, prueba una nueva actividad como el baile o la escalada.</t>
  </si>
  <si>
    <t>EJEMPLO: Si tu trabajo o estudio tiene horarios rígidos, busca pequeños momentos durante el día para descansar o reorganizar tus prioridades.</t>
  </si>
  <si>
    <t>¡Espero que estas recomendaciones ampliadas sean útiles! Si necesitas ajustar algo más o agregar más EJEMPLOs específicos, no dudes en pedírmelo. 😊</t>
  </si>
  <si>
    <t>RESULTADOS</t>
  </si>
  <si>
    <r>
      <rPr>
        <b/>
        <sz val="12"/>
        <color theme="1"/>
        <rFont val="Arial"/>
        <family val="2"/>
      </rPr>
      <t>¿Por qué asignaste ese puntaje?</t>
    </r>
    <r>
      <rPr>
        <sz val="12"/>
        <color theme="1"/>
        <rFont val="Arial"/>
        <family val="2"/>
      </rPr>
      <t xml:space="preserve"> Debido A que Me he Visto Escaso A la Hora de Mi Vida Social, Tanto En Expresar Y Sentir Cualquier Afecto A los demás, Así Como Hablar Y Compartir Tanto Con Otras Personas Como En Ciertas Partes de Mi Familia.
</t>
    </r>
    <r>
      <rPr>
        <b/>
        <sz val="12"/>
        <color theme="1"/>
        <rFont val="Arial"/>
        <family val="2"/>
      </rPr>
      <t>¿Qué debes cambiar o mejorar para aumentar la valoración en las categorías con puntuaciones más bajas</t>
    </r>
    <r>
      <rPr>
        <sz val="12"/>
        <color theme="1"/>
        <rFont val="Arial"/>
        <family val="2"/>
      </rPr>
      <t>? Debo Cambiar Mi Educación dada En Mi Entorno Y Proponerme A Buscar Nuevas Amistades Y/o Personas, Animales O Vida Verde Para Mejorar Mi Capacidad de Expresión Y Los Distitntos Afectos que Se Suelen dar por Conocer.</t>
    </r>
  </si>
  <si>
    <r>
      <rPr>
        <b/>
        <sz val="12"/>
        <color theme="1"/>
        <rFont val="Arial"/>
        <family val="2"/>
      </rPr>
      <t>¿Por qué asignaste ese puntaje?</t>
    </r>
    <r>
      <rPr>
        <sz val="12"/>
        <color theme="1"/>
        <rFont val="Arial"/>
        <family val="2"/>
      </rPr>
      <t xml:space="preserve"> Lo Elegí debido A que Me hace Falta En El Momento Mejorar Y Tomarme El Tiempo de las Principales Actividades Cotidianas.
</t>
    </r>
    <r>
      <rPr>
        <b/>
        <sz val="12"/>
        <color theme="1"/>
        <rFont val="Arial"/>
        <family val="2"/>
      </rPr>
      <t>¿Qué debes cambiar o mejorar para aumentar la valoración en las categorías con puntuaciones más bajas?</t>
    </r>
    <r>
      <rPr>
        <sz val="12"/>
        <color theme="1"/>
        <rFont val="Arial"/>
        <family val="2"/>
      </rPr>
      <t xml:space="preserve"> Debo Cambiar Mi Estilo Rutinario Y Empezar A Usarlo de una Manera Más Organizada, Como Es El Sueño, Alimento, Y Mi Vida Social.</t>
    </r>
  </si>
  <si>
    <r>
      <rPr>
        <b/>
        <sz val="12"/>
        <color theme="1"/>
        <rFont val="Arial"/>
        <family val="2"/>
      </rPr>
      <t>¿Por qué asignaste ese puntaje?</t>
    </r>
    <r>
      <rPr>
        <sz val="12"/>
        <color theme="1"/>
        <rFont val="Arial"/>
        <family val="2"/>
      </rPr>
      <t xml:space="preserve"> Porque Cumplo Con lo Básico de Estas, Pero que Todavía Me Falta Mejorarlas Más Y Prácticar Un Entorno Más de Entretenimiento.
</t>
    </r>
    <r>
      <rPr>
        <b/>
        <sz val="12"/>
        <color theme="1"/>
        <rFont val="Arial"/>
        <family val="2"/>
      </rPr>
      <t>¿Qué debes cambiar o mejorar para aumentar la valoración en las categorías con puntuaciones más bajas?</t>
    </r>
    <r>
      <rPr>
        <sz val="12"/>
        <color theme="1"/>
        <rFont val="Arial"/>
        <family val="2"/>
      </rPr>
      <t xml:space="preserve"> Debo Mejorar Mi Capacidad de Conocer Y Adaptar Nuevos Ambientes, Así Como El Entretenimiento Y la Creatividad, Respectivamente.</t>
    </r>
  </si>
  <si>
    <r>
      <rPr>
        <b/>
        <sz val="12"/>
        <color theme="1"/>
        <rFont val="Arial"/>
        <family val="2"/>
      </rPr>
      <t>¿Por qué asignaste ese puntaje?</t>
    </r>
    <r>
      <rPr>
        <sz val="12"/>
        <color theme="1"/>
        <rFont val="Arial"/>
        <family val="2"/>
      </rPr>
      <t xml:space="preserve"> Lo Asigné de Esta Manera Porque Requiero de Mejorar Mi Vida Social, Así Como El Hablar Y Compartir Con las Personas y Sus Ambientes.
</t>
    </r>
    <r>
      <rPr>
        <b/>
        <sz val="12"/>
        <color theme="1"/>
        <rFont val="Arial"/>
        <family val="2"/>
      </rPr>
      <t>¿Qué debes cambiar o mejorar para aumentar la valoración en las categorías con puntuaciones más bajas?</t>
    </r>
    <r>
      <rPr>
        <sz val="12"/>
        <color theme="1"/>
        <rFont val="Arial"/>
        <family val="2"/>
      </rPr>
      <t xml:space="preserve"> Debo Cambiar Mi Zona de Confort, Esto Y Con Una Ayuda Psicológica Para Poder Mejorar Mi Entorno Social, Y Evitar Un AutoAislamiento de Todo, O la Soledad.</t>
    </r>
  </si>
  <si>
    <r>
      <rPr>
        <b/>
        <sz val="12"/>
        <color theme="1"/>
        <rFont val="Arial"/>
        <family val="2"/>
      </rPr>
      <t>¿Por qué asignaste ese puntaje?</t>
    </r>
    <r>
      <rPr>
        <sz val="12"/>
        <color theme="1"/>
        <rFont val="Arial"/>
        <family val="2"/>
      </rPr>
      <t xml:space="preserve"> Debido A que Me Hace Falta Mejorar Una Manera de Trabajar En Nuevas ideas En Mi Vida Cotidiana Y Saberlas Manejar Junto Con lo demás.
</t>
    </r>
    <r>
      <rPr>
        <b/>
        <sz val="12"/>
        <color theme="1"/>
        <rFont val="Arial"/>
        <family val="2"/>
      </rPr>
      <t>¿Qué debes cambiar o mejorar para aumentar la valoración en las categorías con puntuaciones más bajas?</t>
    </r>
    <r>
      <rPr>
        <sz val="12"/>
        <color theme="1"/>
        <rFont val="Arial"/>
        <family val="2"/>
      </rPr>
      <t xml:space="preserve"> Debo Cambiar las Constumbres Y Busca Nuevas ideas Sobre los Métodos de Diseño O inventos que Puedo Utilizar Tanto En los Aprendizajes O Temás Laborales, Como implementarlos Támbien A lo que Es Mi Vida Social Con los demás Y En lo Personal.</t>
    </r>
  </si>
  <si>
    <r>
      <rPr>
        <b/>
        <sz val="12"/>
        <color theme="1"/>
        <rFont val="Arial"/>
        <family val="2"/>
      </rPr>
      <t>¿Por qué asignaste ese puntaje?</t>
    </r>
    <r>
      <rPr>
        <sz val="12"/>
        <color theme="1"/>
        <rFont val="Arial"/>
        <family val="2"/>
      </rPr>
      <t xml:space="preserve"> Lo Escogí Porque Me Hace Falta Requerir Más Sobre Mi Conocimiento de Mi Propia Persona Y A Aprender Más Sobre Mis Gustos, Cosas Personales Y lo Negativo O No llamativo Sobre Mi Personalidad.
</t>
    </r>
    <r>
      <rPr>
        <b/>
        <sz val="12"/>
        <color theme="1"/>
        <rFont val="Arial"/>
        <family val="2"/>
      </rPr>
      <t>¿Qué debes cambiar o mejorar para aumentar la valoración en las categorías con puntuaciones más bajas?</t>
    </r>
    <r>
      <rPr>
        <sz val="12"/>
        <color theme="1"/>
        <rFont val="Arial"/>
        <family val="2"/>
      </rPr>
      <t xml:space="preserve"> Debo Mejorar Mi Capacidad Mental Y Psicologica para Entender Mi Capacidad de Conocerme A Mi Mismo y lo que Me Marca Como Propio O de Mi Personalidad, Como Pueden Ser los Deportes, AutoEstima, Madurez, Integridad, Entre Otros.</t>
    </r>
  </si>
  <si>
    <r>
      <rPr>
        <b/>
        <sz val="12"/>
        <color theme="1"/>
        <rFont val="Arial"/>
        <family val="2"/>
      </rPr>
      <t xml:space="preserve">¿Por qué asignaste ese puntaje? </t>
    </r>
    <r>
      <rPr>
        <sz val="12"/>
        <color theme="1"/>
        <rFont val="Arial"/>
        <family val="2"/>
      </rPr>
      <t>Lo Elegí Así Porque he Visto Por Cumplido Con lo Básico, Pero que Me hace Falta Más Sobre El Negarse A Ciertas Ocasiones Y Al Arriesgarse Para Cumplir Ciertos Objetivos que Tengo En Mi Mente que Conseguir.</t>
    </r>
    <r>
      <rPr>
        <b/>
        <sz val="12"/>
        <color theme="1"/>
        <rFont val="Arial"/>
        <family val="2"/>
      </rPr>
      <t xml:space="preserve">
¿Qué debes cambiar o mejorar para aumentar la valoración en las categorías con puntuaciones más bajas? </t>
    </r>
    <r>
      <rPr>
        <sz val="12"/>
        <color theme="1"/>
        <rFont val="Arial"/>
        <family val="2"/>
      </rPr>
      <t>Debo Comprometer Un Compromiso de Aprender A Buscar Una buena Autonomía Y Propias desiciones, Buscando Támbien Una Capacidad de Arriesgarme A Grandes Cosas que Me pueden Ayudar A ir Más Allá de los Propios Limites que Me Propongo A Hacer.</t>
    </r>
  </si>
  <si>
    <r>
      <t xml:space="preserve">¿Por qué asignaste ese puntaje? </t>
    </r>
    <r>
      <rPr>
        <sz val="12"/>
        <color theme="1"/>
        <rFont val="Arial"/>
        <family val="2"/>
      </rPr>
      <t>Porque Me he Visto Muy Bien Educado Según Las Formativas Y Disciplina que he Ejercido, Junto Con lo Básico Sobre investigación Y Literatura.</t>
    </r>
    <r>
      <rPr>
        <b/>
        <sz val="12"/>
        <color theme="1"/>
        <rFont val="Arial"/>
        <family val="2"/>
      </rPr>
      <t xml:space="preserve">
¿Qué debes cambiar o mejorar para aumentar la valoración en las categorías con puntuaciones más bajas? </t>
    </r>
    <r>
      <rPr>
        <sz val="12"/>
        <color theme="1"/>
        <rFont val="Arial"/>
        <family val="2"/>
      </rPr>
      <t>En Este Caso No Veo Algo Necesario Para Aprender O Capacitar, Más Bien Mejorar Las Capacidades de Estudio y Sobre la Literatura Y Política Como En la Educación.</t>
    </r>
  </si>
  <si>
    <r>
      <t xml:space="preserve">¿Por qué asignaste ese puntaje? </t>
    </r>
    <r>
      <rPr>
        <sz val="12"/>
        <color theme="1"/>
        <rFont val="Arial"/>
        <family val="2"/>
      </rPr>
      <t>Porque He Visto que he Carecido Con Compartir, Dialogar O Proponer Buenas ideas Hacia los demás, O En Mi Entorno Cotidiano.</t>
    </r>
    <r>
      <rPr>
        <b/>
        <sz val="12"/>
        <color theme="1"/>
        <rFont val="Arial"/>
        <family val="2"/>
      </rPr>
      <t xml:space="preserve">
¿Qué debes cambiar o mejorar para aumentar la valoración en las categorías con puntuaciones más bajas? </t>
    </r>
    <r>
      <rPr>
        <sz val="12"/>
        <color theme="1"/>
        <rFont val="Arial"/>
        <family val="2"/>
      </rPr>
      <t>Debo Cambiar Y Punto de Vista Y Tomar Ayudas Y Acciones Para Poder Mejorar Esas Capacidades que Hacen Falta Como Metodo de Vida Social.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</si>
</sst>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
      <b/>
      <sz val="13.5"/>
      <color theme="1"/>
      <name val="Calibri"/>
      <family val="2"/>
      <scheme val="minor"/>
    </font>
    <font>
      <b/>
      <sz val="13.5"/>
      <color rgb="FFFF0000"/>
      <name val="Calibri"/>
      <family val="2"/>
      <scheme val="minor"/>
    </font>
    <font>
      <b/>
      <sz val="36"/>
      <color theme="1"/>
      <name val="Calibri"/>
      <family val="2"/>
      <scheme val="minor"/>
    </font>
    <font>
      <b/>
      <sz val="11"/>
      <color theme="1"/>
      <name val="Arial"/>
      <family val="2"/>
    </font>
    <font>
      <sz val="12"/>
      <color theme="1"/>
      <name val="Arial"/>
      <family val="2"/>
    </font>
    <font>
      <b/>
      <sz val="12"/>
      <color theme="1"/>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center" vertical="center"/>
    </xf>
    <xf numFmtId="0" fontId="1" fillId="0" borderId="0" xfId="0" applyFont="1" applyAlignment="1">
      <alignment horizontal="left"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0" fillId="0" borderId="0" xfId="0" applyAlignment="1">
      <alignment horizontal="left" vertical="center"/>
    </xf>
    <xf numFmtId="0" fontId="8" fillId="0" borderId="0" xfId="0" applyFont="1" applyAlignment="1">
      <alignment vertical="center"/>
    </xf>
    <xf numFmtId="0" fontId="9" fillId="9" borderId="0" xfId="0" applyFont="1" applyFill="1" applyAlignment="1">
      <alignment horizontal="center" vertical="center"/>
    </xf>
    <xf numFmtId="0" fontId="6" fillId="8" borderId="0" xfId="0" applyFont="1" applyFill="1" applyAlignment="1">
      <alignment horizontal="center" vertical="center"/>
    </xf>
    <xf numFmtId="0" fontId="6" fillId="3" borderId="0" xfId="0" applyFont="1" applyFill="1" applyAlignment="1">
      <alignment horizontal="left" vertical="center" wrapText="1"/>
    </xf>
    <xf numFmtId="0" fontId="1" fillId="7" borderId="8" xfId="0" applyFont="1" applyFill="1" applyBorder="1" applyAlignment="1">
      <alignment horizontal="center" vertical="center"/>
    </xf>
    <xf numFmtId="0" fontId="6" fillId="7" borderId="1" xfId="0" applyFont="1" applyFill="1" applyBorder="1" applyAlignment="1">
      <alignment horizontal="center" vertical="center"/>
    </xf>
    <xf numFmtId="0" fontId="1" fillId="7" borderId="1" xfId="0" applyFont="1" applyFill="1" applyBorder="1" applyAlignment="1">
      <alignment horizontal="center" vertical="center"/>
    </xf>
    <xf numFmtId="0" fontId="6" fillId="7" borderId="0" xfId="0" applyFont="1" applyFill="1" applyAlignment="1">
      <alignment horizontal="center" vertical="center"/>
    </xf>
    <xf numFmtId="0" fontId="1" fillId="7" borderId="0" xfId="0" applyFont="1" applyFill="1" applyAlignment="1">
      <alignment horizontal="center" vertical="center"/>
    </xf>
    <xf numFmtId="0" fontId="6" fillId="5" borderId="0" xfId="0" applyFont="1" applyFill="1" applyAlignment="1">
      <alignment horizontal="left" vertical="center" wrapText="1"/>
    </xf>
    <xf numFmtId="0" fontId="4" fillId="0" borderId="0" xfId="0" applyFont="1" applyAlignment="1">
      <alignment horizontal="left" vertical="top"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0" borderId="1" xfId="0" applyFont="1" applyBorder="1" applyAlignment="1">
      <alignment horizontal="center" vertical="center"/>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6" fillId="0" borderId="0" xfId="0" applyFont="1" applyAlignment="1">
      <alignment horizontal="left" vertical="top"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xf>
    <xf numFmtId="0" fontId="12" fillId="7" borderId="1" xfId="0" applyFont="1" applyFill="1" applyBorder="1" applyAlignment="1">
      <alignment horizontal="center" vertical="center" wrapText="1"/>
    </xf>
    <xf numFmtId="0" fontId="12" fillId="7" borderId="0" xfId="0" applyFont="1" applyFill="1" applyAlignment="1">
      <alignment horizontal="center" vertical="center" wrapText="1"/>
    </xf>
    <xf numFmtId="0" fontId="10" fillId="7" borderId="0" xfId="0" applyFont="1" applyFill="1" applyAlignment="1">
      <alignment horizontal="center" vertical="center"/>
    </xf>
    <xf numFmtId="0" fontId="11" fillId="7" borderId="0" xfId="0" applyFont="1" applyFill="1" applyAlignment="1">
      <alignment horizontal="center" vertical="center" wrapText="1"/>
    </xf>
    <xf numFmtId="0" fontId="11" fillId="7" borderId="1" xfId="0" applyFont="1" applyFill="1" applyBorder="1" applyAlignment="1">
      <alignment horizontal="center" vertical="center" wrapText="1"/>
    </xf>
    <xf numFmtId="0" fontId="11" fillId="7"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Subsistencia</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Hoja1!$C$4:$F$4</c:f>
              <c:strCache>
                <c:ptCount val="4"/>
                <c:pt idx="0">
                  <c:v>(1) Salud física y mental, equilibrio, solidaridad, humor, adaptabilidad </c:v>
                </c:pt>
                <c:pt idx="1">
                  <c:v>(2) Alimentación, abrigo, trabajo </c:v>
                </c:pt>
                <c:pt idx="2">
                  <c:v>(3) Alimentar, procrear, descansar, trabajar </c:v>
                </c:pt>
                <c:pt idx="3">
                  <c:v>(4) Entorno vital, entorno social</c:v>
                </c:pt>
              </c:strCache>
            </c:strRef>
          </c:cat>
          <c:val>
            <c:numRef>
              <c:f>Hoja1!$C$5:$F$5</c:f>
              <c:numCache>
                <c:formatCode>General</c:formatCode>
                <c:ptCount val="4"/>
                <c:pt idx="0">
                  <c:v>3</c:v>
                </c:pt>
                <c:pt idx="1">
                  <c:v>2</c:v>
                </c:pt>
                <c:pt idx="2">
                  <c:v>2</c:v>
                </c:pt>
                <c:pt idx="3">
                  <c:v>2</c:v>
                </c:pt>
              </c:numCache>
            </c:numRef>
          </c:val>
          <c:extLst>
            <c:ext xmlns:c16="http://schemas.microsoft.com/office/drawing/2014/chart" uri="{C3380CC4-5D6E-409C-BE32-E72D297353CC}">
              <c16:uniqueId val="{00000000-3A7C-4AD6-9ECD-05234BCA0DC8}"/>
            </c:ext>
          </c:extLst>
        </c:ser>
        <c:dLbls>
          <c:dLblPos val="inEnd"/>
          <c:showLegendKey val="0"/>
          <c:showVal val="1"/>
          <c:showCatName val="0"/>
          <c:showSerName val="0"/>
          <c:showPercent val="0"/>
          <c:showBubbleSize val="0"/>
        </c:dLbls>
        <c:gapWidth val="65"/>
        <c:axId val="561822496"/>
        <c:axId val="561829336"/>
      </c:barChart>
      <c:catAx>
        <c:axId val="561822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29336"/>
        <c:crosses val="autoZero"/>
        <c:auto val="1"/>
        <c:lblAlgn val="ctr"/>
        <c:lblOffset val="100"/>
        <c:noMultiLvlLbl val="0"/>
      </c:catAx>
      <c:valAx>
        <c:axId val="5618293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2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Proteccion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Hoja1!$C$6:$F$6</c:f>
              <c:strCache>
                <c:ptCount val="4"/>
                <c:pt idx="0">
                  <c:v>(5) Cuidado, adaptabilidad, autonomía, equilibrio, solidaridad </c:v>
                </c:pt>
                <c:pt idx="1">
                  <c:v>(6) Sistemas de seguros, ahorro, seguridad social, sistemas de salud. legislaciones, derechos, familia. Trabajo</c:v>
                </c:pt>
                <c:pt idx="2">
                  <c:v> (7) Cooperar, prevenir, planificar, cuidar, curar, defender </c:v>
                </c:pt>
                <c:pt idx="3">
                  <c:v>(8) Entorno vital, entorno social, morada</c:v>
                </c:pt>
              </c:strCache>
            </c:strRef>
          </c:cat>
          <c:val>
            <c:numRef>
              <c:f>Hoja1!$C$7:$F$7</c:f>
              <c:numCache>
                <c:formatCode>General</c:formatCode>
                <c:ptCount val="4"/>
                <c:pt idx="0">
                  <c:v>3</c:v>
                </c:pt>
                <c:pt idx="1">
                  <c:v>3</c:v>
                </c:pt>
                <c:pt idx="2">
                  <c:v>3</c:v>
                </c:pt>
                <c:pt idx="3">
                  <c:v>2</c:v>
                </c:pt>
              </c:numCache>
            </c:numRef>
          </c:val>
          <c:extLst>
            <c:ext xmlns:c16="http://schemas.microsoft.com/office/drawing/2014/chart" uri="{C3380CC4-5D6E-409C-BE32-E72D297353CC}">
              <c16:uniqueId val="{00000000-7592-443F-AC60-91A8F7783123}"/>
            </c:ext>
          </c:extLst>
        </c:ser>
        <c:dLbls>
          <c:dLblPos val="inEnd"/>
          <c:showLegendKey val="0"/>
          <c:showVal val="1"/>
          <c:showCatName val="0"/>
          <c:showSerName val="0"/>
          <c:showPercent val="0"/>
          <c:showBubbleSize val="0"/>
        </c:dLbls>
        <c:gapWidth val="65"/>
        <c:axId val="561852016"/>
        <c:axId val="561843376"/>
      </c:barChart>
      <c:catAx>
        <c:axId val="5618520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43376"/>
        <c:crosses val="autoZero"/>
        <c:auto val="1"/>
        <c:lblAlgn val="ctr"/>
        <c:lblOffset val="100"/>
        <c:noMultiLvlLbl val="0"/>
      </c:catAx>
      <c:valAx>
        <c:axId val="561843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5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Afecto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Hoja1!$C$8:$F$8</c:f>
              <c:strCache>
                <c:ptCount val="4"/>
                <c:pt idx="0">
                  <c:v>(9) Autoestima, solidaridad, respeto, tolerancia, generosidad, receptividad, pasión, voluntad, sensualidad, humor</c:v>
                </c:pt>
                <c:pt idx="1">
                  <c:v>(10) Amistades, parejas, familia, animales domésticos, plantas, jardines </c:v>
                </c:pt>
                <c:pt idx="2">
                  <c:v>(11) Hacer el amor, acariciar, expresar emociones, compartir, cuidar, cultivar, apreciar </c:v>
                </c:pt>
                <c:pt idx="3">
                  <c:v>(12) Privacidad, intimidad, hogar, espacios de encuentro</c:v>
                </c:pt>
              </c:strCache>
            </c:strRef>
          </c:cat>
          <c:val>
            <c:numRef>
              <c:f>Hoja1!$C$9:$F$9</c:f>
              <c:numCache>
                <c:formatCode>General</c:formatCode>
                <c:ptCount val="4"/>
                <c:pt idx="0">
                  <c:v>3</c:v>
                </c:pt>
                <c:pt idx="1">
                  <c:v>2</c:v>
                </c:pt>
                <c:pt idx="2">
                  <c:v>2</c:v>
                </c:pt>
                <c:pt idx="3">
                  <c:v>4</c:v>
                </c:pt>
              </c:numCache>
            </c:numRef>
          </c:val>
          <c:extLst>
            <c:ext xmlns:c16="http://schemas.microsoft.com/office/drawing/2014/chart" uri="{C3380CC4-5D6E-409C-BE32-E72D297353CC}">
              <c16:uniqueId val="{00000000-A485-42FA-8D83-3DE1997473EC}"/>
            </c:ext>
          </c:extLst>
        </c:ser>
        <c:dLbls>
          <c:dLblPos val="inEnd"/>
          <c:showLegendKey val="0"/>
          <c:showVal val="1"/>
          <c:showCatName val="0"/>
          <c:showSerName val="0"/>
          <c:showPercent val="0"/>
          <c:showBubbleSize val="0"/>
        </c:dLbls>
        <c:gapWidth val="65"/>
        <c:axId val="561851296"/>
        <c:axId val="561851656"/>
      </c:barChart>
      <c:catAx>
        <c:axId val="561851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51656"/>
        <c:crosses val="autoZero"/>
        <c:auto val="1"/>
        <c:lblAlgn val="ctr"/>
        <c:lblOffset val="100"/>
        <c:noMultiLvlLbl val="0"/>
      </c:catAx>
      <c:valAx>
        <c:axId val="561851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5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Entendimiento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Hoja1!$C$10:$F$10</c:f>
              <c:strCache>
                <c:ptCount val="4"/>
                <c:pt idx="0">
                  <c:v>(13) Conciencia crítica, receptividad, curiosidad, asombro, disciplina, intuición, racionalidad </c:v>
                </c:pt>
                <c:pt idx="1">
                  <c:v>(14) Literatura, maestros, método, políticas educacionales, políticas comunicacionales</c:v>
                </c:pt>
                <c:pt idx="2">
                  <c:v> (15) Investigar, estudiar, experimentar, educar, analizar, meditar, interpretar </c:v>
                </c:pt>
                <c:pt idx="3">
                  <c:v>(16) Ámbitos de interacción formativa: escuelas, universidades, academias, agrupaciones, comunidades, familia</c:v>
                </c:pt>
              </c:strCache>
            </c:strRef>
          </c:cat>
          <c:val>
            <c:numRef>
              <c:f>Hoja1!$C$11:$F$11</c:f>
              <c:numCache>
                <c:formatCode>General</c:formatCode>
                <c:ptCount val="4"/>
                <c:pt idx="0">
                  <c:v>4</c:v>
                </c:pt>
                <c:pt idx="1">
                  <c:v>3</c:v>
                </c:pt>
                <c:pt idx="2">
                  <c:v>3</c:v>
                </c:pt>
                <c:pt idx="3">
                  <c:v>4</c:v>
                </c:pt>
              </c:numCache>
            </c:numRef>
          </c:val>
          <c:extLst>
            <c:ext xmlns:c16="http://schemas.microsoft.com/office/drawing/2014/chart" uri="{C3380CC4-5D6E-409C-BE32-E72D297353CC}">
              <c16:uniqueId val="{00000000-319F-434E-8F30-42CC949916A1}"/>
            </c:ext>
          </c:extLst>
        </c:ser>
        <c:dLbls>
          <c:dLblPos val="inEnd"/>
          <c:showLegendKey val="0"/>
          <c:showVal val="1"/>
          <c:showCatName val="0"/>
          <c:showSerName val="0"/>
          <c:showPercent val="0"/>
          <c:showBubbleSize val="0"/>
        </c:dLbls>
        <c:gapWidth val="65"/>
        <c:axId val="561862456"/>
        <c:axId val="561862816"/>
      </c:barChart>
      <c:catAx>
        <c:axId val="561862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62816"/>
        <c:crosses val="autoZero"/>
        <c:auto val="1"/>
        <c:lblAlgn val="ctr"/>
        <c:lblOffset val="100"/>
        <c:noMultiLvlLbl val="0"/>
      </c:catAx>
      <c:valAx>
        <c:axId val="5618628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62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Participacion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Hoja1!$C$12:$F$12</c:f>
              <c:strCache>
                <c:ptCount val="4"/>
                <c:pt idx="0">
                  <c:v>(17) Adaptabilidad receptividad, solidaridad disposición, convicción entrega, respeto, pasión humor </c:v>
                </c:pt>
                <c:pt idx="1">
                  <c:v>(18) Derechos, responsabilidades, obligaciones, atribuciones, trabajo </c:v>
                </c:pt>
                <c:pt idx="2">
                  <c:v>(19) Afiliarse, cooperar, proponer, compartir, discrepar, acatar, dialogar, acordar, opinar</c:v>
                </c:pt>
                <c:pt idx="3">
                  <c:v>(20) Ámbitos de interacción participativa: partidos, asociaciones, iglesias, comunidades, vecindarios, familias</c:v>
                </c:pt>
              </c:strCache>
            </c:strRef>
          </c:cat>
          <c:val>
            <c:numRef>
              <c:f>Hoja1!$C$13:$F$13</c:f>
              <c:numCache>
                <c:formatCode>General</c:formatCode>
                <c:ptCount val="4"/>
                <c:pt idx="0">
                  <c:v>4</c:v>
                </c:pt>
                <c:pt idx="1">
                  <c:v>3</c:v>
                </c:pt>
                <c:pt idx="2">
                  <c:v>2</c:v>
                </c:pt>
                <c:pt idx="3">
                  <c:v>3</c:v>
                </c:pt>
              </c:numCache>
            </c:numRef>
          </c:val>
          <c:extLst>
            <c:ext xmlns:c16="http://schemas.microsoft.com/office/drawing/2014/chart" uri="{C3380CC4-5D6E-409C-BE32-E72D297353CC}">
              <c16:uniqueId val="{00000000-7BF8-4F6A-8F24-8056392F4133}"/>
            </c:ext>
          </c:extLst>
        </c:ser>
        <c:dLbls>
          <c:dLblPos val="inEnd"/>
          <c:showLegendKey val="0"/>
          <c:showVal val="1"/>
          <c:showCatName val="0"/>
          <c:showSerName val="0"/>
          <c:showPercent val="0"/>
          <c:showBubbleSize val="0"/>
        </c:dLbls>
        <c:gapWidth val="65"/>
        <c:axId val="561857056"/>
        <c:axId val="561857416"/>
      </c:barChart>
      <c:catAx>
        <c:axId val="561857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57416"/>
        <c:crosses val="autoZero"/>
        <c:auto val="1"/>
        <c:lblAlgn val="ctr"/>
        <c:lblOffset val="100"/>
        <c:noMultiLvlLbl val="0"/>
      </c:catAx>
      <c:valAx>
        <c:axId val="561857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5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Ocio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Hoja1!$C$14:$F$14</c:f>
              <c:strCache>
                <c:ptCount val="4"/>
                <c:pt idx="0">
                  <c:v>(21) Curiosidad, receptividad, imaginación, despreocupación, humor, tranquilidad, sensualidad </c:v>
                </c:pt>
                <c:pt idx="1">
                  <c:v>(22) Juegos, espectáculos, fiestas, calma</c:v>
                </c:pt>
                <c:pt idx="2">
                  <c:v>(23) Divagar, abstraerse, soñar, añorar, fantasear, evocar, relajarse, divertirse, jugar</c:v>
                </c:pt>
                <c:pt idx="3">
                  <c:v>(24) Privacidad, intimidad, espacios de encuentro, tiempo libre, ambientes, paisajes</c:v>
                </c:pt>
              </c:strCache>
            </c:strRef>
          </c:cat>
          <c:val>
            <c:numRef>
              <c:f>Hoja1!$C$15:$F$15</c:f>
              <c:numCache>
                <c:formatCode>General</c:formatCode>
                <c:ptCount val="4"/>
                <c:pt idx="0">
                  <c:v>3</c:v>
                </c:pt>
                <c:pt idx="1">
                  <c:v>2</c:v>
                </c:pt>
                <c:pt idx="2">
                  <c:v>3</c:v>
                </c:pt>
                <c:pt idx="3">
                  <c:v>3</c:v>
                </c:pt>
              </c:numCache>
            </c:numRef>
          </c:val>
          <c:extLst>
            <c:ext xmlns:c16="http://schemas.microsoft.com/office/drawing/2014/chart" uri="{C3380CC4-5D6E-409C-BE32-E72D297353CC}">
              <c16:uniqueId val="{00000000-8114-4FB6-AD7F-381F4A600C69}"/>
            </c:ext>
          </c:extLst>
        </c:ser>
        <c:dLbls>
          <c:dLblPos val="inEnd"/>
          <c:showLegendKey val="0"/>
          <c:showVal val="1"/>
          <c:showCatName val="0"/>
          <c:showSerName val="0"/>
          <c:showPercent val="0"/>
          <c:showBubbleSize val="0"/>
        </c:dLbls>
        <c:gapWidth val="65"/>
        <c:axId val="561878296"/>
        <c:axId val="561877576"/>
      </c:barChart>
      <c:catAx>
        <c:axId val="5618782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77576"/>
        <c:crosses val="autoZero"/>
        <c:auto val="1"/>
        <c:lblAlgn val="ctr"/>
        <c:lblOffset val="100"/>
        <c:noMultiLvlLbl val="0"/>
      </c:catAx>
      <c:valAx>
        <c:axId val="561877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78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Creación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Hoja1!$C$16:$F$16</c:f>
              <c:strCache>
                <c:ptCount val="4"/>
                <c:pt idx="0">
                  <c:v>(25) Pasión, voluntad, intuición, imaginación, audacia, racionalidad, autonomía, inventiva, curiosidad</c:v>
                </c:pt>
                <c:pt idx="1">
                  <c:v>(26) Habilidades, destrezas, método, trabajo </c:v>
                </c:pt>
                <c:pt idx="2">
                  <c:v>(27) Trabajar, inventar, construir, idear, componer, diseñar, interpretar </c:v>
                </c:pt>
                <c:pt idx="3">
                  <c:v>(28) Ámbitos de producción y retroalimentación: talleres, ateneos, agrupaciones, audiencias, espacios de expresión, libertad temporal</c:v>
                </c:pt>
              </c:strCache>
            </c:strRef>
          </c:cat>
          <c:val>
            <c:numRef>
              <c:f>Hoja1!$C$17:$F$17</c:f>
              <c:numCache>
                <c:formatCode>General</c:formatCode>
                <c:ptCount val="4"/>
                <c:pt idx="0">
                  <c:v>3</c:v>
                </c:pt>
                <c:pt idx="1">
                  <c:v>3</c:v>
                </c:pt>
                <c:pt idx="2">
                  <c:v>2</c:v>
                </c:pt>
                <c:pt idx="3">
                  <c:v>3</c:v>
                </c:pt>
              </c:numCache>
            </c:numRef>
          </c:val>
          <c:extLst>
            <c:ext xmlns:c16="http://schemas.microsoft.com/office/drawing/2014/chart" uri="{C3380CC4-5D6E-409C-BE32-E72D297353CC}">
              <c16:uniqueId val="{00000000-B64D-4415-84EC-D2BBFD29B872}"/>
            </c:ext>
          </c:extLst>
        </c:ser>
        <c:dLbls>
          <c:dLblPos val="inEnd"/>
          <c:showLegendKey val="0"/>
          <c:showVal val="1"/>
          <c:showCatName val="0"/>
          <c:showSerName val="0"/>
          <c:showPercent val="0"/>
          <c:showBubbleSize val="0"/>
        </c:dLbls>
        <c:gapWidth val="65"/>
        <c:axId val="561760576"/>
        <c:axId val="561753016"/>
      </c:barChart>
      <c:catAx>
        <c:axId val="5617605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753016"/>
        <c:crosses val="autoZero"/>
        <c:auto val="1"/>
        <c:lblAlgn val="ctr"/>
        <c:lblOffset val="100"/>
        <c:noMultiLvlLbl val="0"/>
      </c:catAx>
      <c:valAx>
        <c:axId val="561753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760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Identidad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Hoja1!$C$18:$F$18</c:f>
              <c:strCache>
                <c:ptCount val="4"/>
                <c:pt idx="0">
                  <c:v>(29) Pertenencia, coherencia, diferenciación, autoestima, asertividad </c:v>
                </c:pt>
                <c:pt idx="1">
                  <c:v>(30) Símbolos, lenguaje, hábitos, costumbres, grupos de referencia, sexualidad, valores, normas, roles, memoria histórica, trabajo </c:v>
                </c:pt>
                <c:pt idx="2">
                  <c:v>(31) Comprometerse, integrarse, confrontarse, definirse, conocerse, reconocerse, actualizarse, crecer</c:v>
                </c:pt>
                <c:pt idx="3">
                  <c:v>(32) Socio-ritmos, entornos de la cotidianeidad, ámbitos de pertenencia, etapas madurativas</c:v>
                </c:pt>
              </c:strCache>
            </c:strRef>
          </c:cat>
          <c:val>
            <c:numRef>
              <c:f>Hoja1!$C$19:$F$19</c:f>
              <c:numCache>
                <c:formatCode>General</c:formatCode>
                <c:ptCount val="4"/>
                <c:pt idx="0">
                  <c:v>2</c:v>
                </c:pt>
                <c:pt idx="1">
                  <c:v>3</c:v>
                </c:pt>
                <c:pt idx="2">
                  <c:v>1</c:v>
                </c:pt>
                <c:pt idx="3">
                  <c:v>2</c:v>
                </c:pt>
              </c:numCache>
            </c:numRef>
          </c:val>
          <c:extLst>
            <c:ext xmlns:c16="http://schemas.microsoft.com/office/drawing/2014/chart" uri="{C3380CC4-5D6E-409C-BE32-E72D297353CC}">
              <c16:uniqueId val="{00000000-3438-4494-AF19-9914C630D199}"/>
            </c:ext>
          </c:extLst>
        </c:ser>
        <c:dLbls>
          <c:dLblPos val="inEnd"/>
          <c:showLegendKey val="0"/>
          <c:showVal val="1"/>
          <c:showCatName val="0"/>
          <c:showSerName val="0"/>
          <c:showPercent val="0"/>
          <c:showBubbleSize val="0"/>
        </c:dLbls>
        <c:gapWidth val="65"/>
        <c:axId val="561852376"/>
        <c:axId val="561843736"/>
      </c:barChart>
      <c:catAx>
        <c:axId val="5618523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843736"/>
        <c:crosses val="autoZero"/>
        <c:auto val="1"/>
        <c:lblAlgn val="ctr"/>
        <c:lblOffset val="100"/>
        <c:noMultiLvlLbl val="0"/>
      </c:catAx>
      <c:valAx>
        <c:axId val="561843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52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Libertad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Hoja1!$C$20:$F$20</c:f>
              <c:strCache>
                <c:ptCount val="4"/>
                <c:pt idx="0">
                  <c:v>(33) Autonomía, autoestima, voluntad, pasión, asertividad, apertura, determinación, audacia, rebeldía, tolerancia</c:v>
                </c:pt>
                <c:pt idx="1">
                  <c:v>(34) Igualdad de derechos </c:v>
                </c:pt>
                <c:pt idx="2">
                  <c:v>(35) Discrepar, optar, diferenciarse, arriesgar, conocerse, asumirse, desobedecer, meditar</c:v>
                </c:pt>
                <c:pt idx="3">
                  <c:v>(36) Plasticidad espacio-temporal</c:v>
                </c:pt>
              </c:strCache>
            </c:strRef>
          </c:cat>
          <c:val>
            <c:numRef>
              <c:f>Hoja1!$C$21:$F$21</c:f>
              <c:numCache>
                <c:formatCode>General</c:formatCode>
                <c:ptCount val="4"/>
                <c:pt idx="0">
                  <c:v>3</c:v>
                </c:pt>
                <c:pt idx="1">
                  <c:v>4</c:v>
                </c:pt>
                <c:pt idx="2">
                  <c:v>2</c:v>
                </c:pt>
                <c:pt idx="3">
                  <c:v>3</c:v>
                </c:pt>
              </c:numCache>
            </c:numRef>
          </c:val>
          <c:extLst>
            <c:ext xmlns:c16="http://schemas.microsoft.com/office/drawing/2014/chart" uri="{C3380CC4-5D6E-409C-BE32-E72D297353CC}">
              <c16:uniqueId val="{00000000-8BF3-489E-9D4E-D96CC7FB0043}"/>
            </c:ext>
          </c:extLst>
        </c:ser>
        <c:dLbls>
          <c:dLblPos val="inEnd"/>
          <c:showLegendKey val="0"/>
          <c:showVal val="1"/>
          <c:showCatName val="0"/>
          <c:showSerName val="0"/>
          <c:showPercent val="0"/>
          <c:showBubbleSize val="0"/>
        </c:dLbls>
        <c:gapWidth val="65"/>
        <c:axId val="561876856"/>
        <c:axId val="561758056"/>
      </c:barChart>
      <c:catAx>
        <c:axId val="561876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561758056"/>
        <c:crosses val="autoZero"/>
        <c:auto val="1"/>
        <c:lblAlgn val="ctr"/>
        <c:lblOffset val="100"/>
        <c:noMultiLvlLbl val="0"/>
      </c:catAx>
      <c:valAx>
        <c:axId val="561758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61876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164726</xdr:colOff>
      <xdr:row>23</xdr:row>
      <xdr:rowOff>63872</xdr:rowOff>
    </xdr:from>
    <xdr:to>
      <xdr:col>2</xdr:col>
      <xdr:colOff>3023814</xdr:colOff>
      <xdr:row>37</xdr:row>
      <xdr:rowOff>119990</xdr:rowOff>
    </xdr:to>
    <xdr:graphicFrame macro="">
      <xdr:nvGraphicFramePr>
        <xdr:cNvPr id="22" name="Gráfico 21">
          <a:extLst>
            <a:ext uri="{FF2B5EF4-FFF2-40B4-BE49-F238E27FC236}">
              <a16:creationId xmlns:a16="http://schemas.microsoft.com/office/drawing/2014/main" id="{CC1EAE11-D84D-42BC-A1F1-98DE82336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163045</xdr:colOff>
      <xdr:row>40</xdr:row>
      <xdr:rowOff>39793</xdr:rowOff>
    </xdr:from>
    <xdr:to>
      <xdr:col>2</xdr:col>
      <xdr:colOff>3022133</xdr:colOff>
      <xdr:row>54</xdr:row>
      <xdr:rowOff>95910</xdr:rowOff>
    </xdr:to>
    <xdr:graphicFrame macro="">
      <xdr:nvGraphicFramePr>
        <xdr:cNvPr id="23" name="Gráfico 22">
          <a:extLst>
            <a:ext uri="{FF2B5EF4-FFF2-40B4-BE49-F238E27FC236}">
              <a16:creationId xmlns:a16="http://schemas.microsoft.com/office/drawing/2014/main" id="{7285BF78-93E0-4129-974C-D8DF83728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155202</xdr:colOff>
      <xdr:row>57</xdr:row>
      <xdr:rowOff>33623</xdr:rowOff>
    </xdr:from>
    <xdr:to>
      <xdr:col>2</xdr:col>
      <xdr:colOff>3014290</xdr:colOff>
      <xdr:row>71</xdr:row>
      <xdr:rowOff>89741</xdr:rowOff>
    </xdr:to>
    <xdr:graphicFrame macro="">
      <xdr:nvGraphicFramePr>
        <xdr:cNvPr id="24" name="Gráfico 23">
          <a:extLst>
            <a:ext uri="{FF2B5EF4-FFF2-40B4-BE49-F238E27FC236}">
              <a16:creationId xmlns:a16="http://schemas.microsoft.com/office/drawing/2014/main" id="{D3CBA05A-B3AC-47FE-B297-81DA5A9BD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183779</xdr:colOff>
      <xdr:row>74</xdr:row>
      <xdr:rowOff>63319</xdr:rowOff>
    </xdr:from>
    <xdr:to>
      <xdr:col>2</xdr:col>
      <xdr:colOff>3042867</xdr:colOff>
      <xdr:row>88</xdr:row>
      <xdr:rowOff>119436</xdr:rowOff>
    </xdr:to>
    <xdr:graphicFrame macro="">
      <xdr:nvGraphicFramePr>
        <xdr:cNvPr id="25" name="Gráfico 24">
          <a:extLst>
            <a:ext uri="{FF2B5EF4-FFF2-40B4-BE49-F238E27FC236}">
              <a16:creationId xmlns:a16="http://schemas.microsoft.com/office/drawing/2014/main" id="{5C485DAA-3E81-41B2-8F98-8EBC07CB5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168090</xdr:colOff>
      <xdr:row>91</xdr:row>
      <xdr:rowOff>85737</xdr:rowOff>
    </xdr:from>
    <xdr:to>
      <xdr:col>2</xdr:col>
      <xdr:colOff>3027178</xdr:colOff>
      <xdr:row>105</xdr:row>
      <xdr:rowOff>141855</xdr:rowOff>
    </xdr:to>
    <xdr:graphicFrame macro="">
      <xdr:nvGraphicFramePr>
        <xdr:cNvPr id="26" name="Gráfico 25">
          <a:extLst>
            <a:ext uri="{FF2B5EF4-FFF2-40B4-BE49-F238E27FC236}">
              <a16:creationId xmlns:a16="http://schemas.microsoft.com/office/drawing/2014/main" id="{C3DDF80A-596C-4F66-9B93-EB2DAFD25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254372</xdr:colOff>
      <xdr:row>23</xdr:row>
      <xdr:rowOff>56028</xdr:rowOff>
    </xdr:from>
    <xdr:to>
      <xdr:col>5</xdr:col>
      <xdr:colOff>3057431</xdr:colOff>
      <xdr:row>37</xdr:row>
      <xdr:rowOff>112146</xdr:rowOff>
    </xdr:to>
    <xdr:graphicFrame macro="">
      <xdr:nvGraphicFramePr>
        <xdr:cNvPr id="27" name="Gráfico 26">
          <a:extLst>
            <a:ext uri="{FF2B5EF4-FFF2-40B4-BE49-F238E27FC236}">
              <a16:creationId xmlns:a16="http://schemas.microsoft.com/office/drawing/2014/main" id="{4D18B0B9-0CCC-4D24-8C6C-2B464AB45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265579</xdr:colOff>
      <xdr:row>40</xdr:row>
      <xdr:rowOff>40347</xdr:rowOff>
    </xdr:from>
    <xdr:to>
      <xdr:col>5</xdr:col>
      <xdr:colOff>3068638</xdr:colOff>
      <xdr:row>54</xdr:row>
      <xdr:rowOff>96464</xdr:rowOff>
    </xdr:to>
    <xdr:graphicFrame macro="">
      <xdr:nvGraphicFramePr>
        <xdr:cNvPr id="28" name="Gráfico 27">
          <a:extLst>
            <a:ext uri="{FF2B5EF4-FFF2-40B4-BE49-F238E27FC236}">
              <a16:creationId xmlns:a16="http://schemas.microsoft.com/office/drawing/2014/main" id="{AE818925-DE10-4CE1-B4CD-6B8BF6209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254373</xdr:colOff>
      <xdr:row>57</xdr:row>
      <xdr:rowOff>36417</xdr:rowOff>
    </xdr:from>
    <xdr:to>
      <xdr:col>5</xdr:col>
      <xdr:colOff>3057432</xdr:colOff>
      <xdr:row>71</xdr:row>
      <xdr:rowOff>92535</xdr:rowOff>
    </xdr:to>
    <xdr:graphicFrame macro="">
      <xdr:nvGraphicFramePr>
        <xdr:cNvPr id="29" name="Gráfico 28">
          <a:extLst>
            <a:ext uri="{FF2B5EF4-FFF2-40B4-BE49-F238E27FC236}">
              <a16:creationId xmlns:a16="http://schemas.microsoft.com/office/drawing/2014/main" id="{AFDBAC9B-F53A-45C6-89B0-FEEB9DA06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243166</xdr:colOff>
      <xdr:row>74</xdr:row>
      <xdr:rowOff>48753</xdr:rowOff>
    </xdr:from>
    <xdr:to>
      <xdr:col>5</xdr:col>
      <xdr:colOff>3046225</xdr:colOff>
      <xdr:row>88</xdr:row>
      <xdr:rowOff>104870</xdr:rowOff>
    </xdr:to>
    <xdr:graphicFrame macro="">
      <xdr:nvGraphicFramePr>
        <xdr:cNvPr id="30" name="Gráfico 29">
          <a:extLst>
            <a:ext uri="{FF2B5EF4-FFF2-40B4-BE49-F238E27FC236}">
              <a16:creationId xmlns:a16="http://schemas.microsoft.com/office/drawing/2014/main" id="{DD891A10-A365-411C-96FC-E33CAB9D4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46"/>
  <sheetViews>
    <sheetView tabSelected="1" zoomScale="70" zoomScaleNormal="70" workbookViewId="0">
      <selection activeCell="E90" sqref="E90:F90"/>
    </sheetView>
  </sheetViews>
  <sheetFormatPr baseColWidth="10" defaultRowHeight="15.75" x14ac:dyDescent="0.25"/>
  <cols>
    <col min="2" max="2" width="48.85546875" style="1" customWidth="1"/>
    <col min="3" max="3" width="48.85546875" style="9" customWidth="1"/>
    <col min="4" max="6" width="49.7109375" style="9" customWidth="1"/>
  </cols>
  <sheetData>
    <row r="1" spans="2:6" ht="39.75" customHeight="1" x14ac:dyDescent="0.25">
      <c r="B1" s="29" t="s">
        <v>13</v>
      </c>
      <c r="C1" s="29"/>
      <c r="D1" s="29"/>
      <c r="E1" s="29"/>
      <c r="F1" s="30"/>
    </row>
    <row r="2" spans="2:6" ht="30.75" customHeight="1" x14ac:dyDescent="0.25">
      <c r="B2" s="32" t="s">
        <v>15</v>
      </c>
      <c r="C2" s="31" t="s">
        <v>14</v>
      </c>
      <c r="D2" s="31"/>
      <c r="E2" s="31"/>
      <c r="F2" s="31"/>
    </row>
    <row r="3" spans="2:6" ht="36" customHeight="1" x14ac:dyDescent="0.25">
      <c r="B3" s="33"/>
      <c r="C3" s="3" t="s">
        <v>1</v>
      </c>
      <c r="D3" s="4" t="s">
        <v>2</v>
      </c>
      <c r="E3" s="5" t="s">
        <v>3</v>
      </c>
      <c r="F3" s="6" t="s">
        <v>4</v>
      </c>
    </row>
    <row r="4" spans="2:6" ht="72.75" customHeight="1" x14ac:dyDescent="0.25">
      <c r="B4" s="35" t="s">
        <v>0</v>
      </c>
      <c r="C4" s="7" t="s">
        <v>17</v>
      </c>
      <c r="D4" s="7" t="s">
        <v>18</v>
      </c>
      <c r="E4" s="7" t="s">
        <v>19</v>
      </c>
      <c r="F4" s="7" t="s">
        <v>20</v>
      </c>
    </row>
    <row r="5" spans="2:6" ht="24.75" customHeight="1" x14ac:dyDescent="0.25">
      <c r="B5" s="36"/>
      <c r="C5" s="7">
        <v>3</v>
      </c>
      <c r="D5" s="7">
        <v>2</v>
      </c>
      <c r="E5" s="7">
        <v>2</v>
      </c>
      <c r="F5" s="7">
        <v>2</v>
      </c>
    </row>
    <row r="6" spans="2:6" ht="84.75" customHeight="1" x14ac:dyDescent="0.25">
      <c r="B6" s="35" t="s">
        <v>5</v>
      </c>
      <c r="C6" s="7" t="s">
        <v>21</v>
      </c>
      <c r="D6" s="7" t="s">
        <v>22</v>
      </c>
      <c r="E6" s="7" t="s">
        <v>23</v>
      </c>
      <c r="F6" s="7" t="s">
        <v>24</v>
      </c>
    </row>
    <row r="7" spans="2:6" ht="24.75" customHeight="1" x14ac:dyDescent="0.25">
      <c r="B7" s="36"/>
      <c r="C7" s="7">
        <v>3</v>
      </c>
      <c r="D7" s="7">
        <v>3</v>
      </c>
      <c r="E7" s="7">
        <v>3</v>
      </c>
      <c r="F7" s="7">
        <v>2</v>
      </c>
    </row>
    <row r="8" spans="2:6" ht="89.25" customHeight="1" x14ac:dyDescent="0.25">
      <c r="B8" s="35" t="s">
        <v>6</v>
      </c>
      <c r="C8" s="7" t="s">
        <v>25</v>
      </c>
      <c r="D8" s="7" t="s">
        <v>26</v>
      </c>
      <c r="E8" s="7" t="s">
        <v>27</v>
      </c>
      <c r="F8" s="7" t="s">
        <v>28</v>
      </c>
    </row>
    <row r="9" spans="2:6" ht="24.75" customHeight="1" x14ac:dyDescent="0.25">
      <c r="B9" s="36"/>
      <c r="C9" s="7">
        <v>3</v>
      </c>
      <c r="D9" s="7">
        <v>2</v>
      </c>
      <c r="E9" s="7">
        <v>2</v>
      </c>
      <c r="F9" s="7">
        <v>4</v>
      </c>
    </row>
    <row r="10" spans="2:6" ht="121.5" customHeight="1" x14ac:dyDescent="0.25">
      <c r="B10" s="35" t="s">
        <v>7</v>
      </c>
      <c r="C10" s="7" t="s">
        <v>29</v>
      </c>
      <c r="D10" s="7" t="s">
        <v>30</v>
      </c>
      <c r="E10" s="7" t="s">
        <v>31</v>
      </c>
      <c r="F10" s="7" t="s">
        <v>32</v>
      </c>
    </row>
    <row r="11" spans="2:6" ht="24.75" customHeight="1" x14ac:dyDescent="0.25">
      <c r="B11" s="36"/>
      <c r="C11" s="7">
        <v>4</v>
      </c>
      <c r="D11" s="7">
        <v>3</v>
      </c>
      <c r="E11" s="7">
        <v>3</v>
      </c>
      <c r="F11" s="7">
        <v>4</v>
      </c>
    </row>
    <row r="12" spans="2:6" ht="96" customHeight="1" x14ac:dyDescent="0.25">
      <c r="B12" s="35" t="s">
        <v>8</v>
      </c>
      <c r="C12" s="7" t="s">
        <v>33</v>
      </c>
      <c r="D12" s="7" t="s">
        <v>34</v>
      </c>
      <c r="E12" s="7" t="s">
        <v>35</v>
      </c>
      <c r="F12" s="7" t="s">
        <v>36</v>
      </c>
    </row>
    <row r="13" spans="2:6" ht="24.75" customHeight="1" x14ac:dyDescent="0.25">
      <c r="B13" s="36"/>
      <c r="C13" s="7">
        <v>4</v>
      </c>
      <c r="D13" s="7">
        <v>3</v>
      </c>
      <c r="E13" s="7">
        <v>2</v>
      </c>
      <c r="F13" s="7">
        <v>3</v>
      </c>
    </row>
    <row r="14" spans="2:6" ht="84.75" customHeight="1" x14ac:dyDescent="0.25">
      <c r="B14" s="35" t="s">
        <v>9</v>
      </c>
      <c r="C14" s="7" t="s">
        <v>37</v>
      </c>
      <c r="D14" s="7" t="s">
        <v>38</v>
      </c>
      <c r="E14" s="7" t="s">
        <v>39</v>
      </c>
      <c r="F14" s="7" t="s">
        <v>40</v>
      </c>
    </row>
    <row r="15" spans="2:6" ht="24.75" customHeight="1" x14ac:dyDescent="0.25">
      <c r="B15" s="36"/>
      <c r="C15" s="7">
        <v>3</v>
      </c>
      <c r="D15" s="7">
        <v>2</v>
      </c>
      <c r="E15" s="7">
        <v>3</v>
      </c>
      <c r="F15" s="7">
        <v>3</v>
      </c>
    </row>
    <row r="16" spans="2:6" ht="123" customHeight="1" x14ac:dyDescent="0.25">
      <c r="B16" s="35" t="s">
        <v>10</v>
      </c>
      <c r="C16" s="7" t="s">
        <v>41</v>
      </c>
      <c r="D16" s="7" t="s">
        <v>42</v>
      </c>
      <c r="E16" s="7" t="s">
        <v>43</v>
      </c>
      <c r="F16" s="7" t="s">
        <v>44</v>
      </c>
    </row>
    <row r="17" spans="2:6" ht="24.75" customHeight="1" x14ac:dyDescent="0.25">
      <c r="B17" s="36"/>
      <c r="C17" s="7">
        <v>3</v>
      </c>
      <c r="D17" s="7">
        <v>3</v>
      </c>
      <c r="E17" s="7">
        <v>2</v>
      </c>
      <c r="F17" s="7">
        <v>3</v>
      </c>
    </row>
    <row r="18" spans="2:6" ht="90" customHeight="1" x14ac:dyDescent="0.25">
      <c r="B18" s="35" t="s">
        <v>11</v>
      </c>
      <c r="C18" s="7" t="s">
        <v>45</v>
      </c>
      <c r="D18" s="7" t="s">
        <v>46</v>
      </c>
      <c r="E18" s="7" t="s">
        <v>47</v>
      </c>
      <c r="F18" s="7" t="s">
        <v>48</v>
      </c>
    </row>
    <row r="19" spans="2:6" ht="24.75" customHeight="1" x14ac:dyDescent="0.25">
      <c r="B19" s="36"/>
      <c r="C19" s="7">
        <v>2</v>
      </c>
      <c r="D19" s="7">
        <v>3</v>
      </c>
      <c r="E19" s="7">
        <v>1</v>
      </c>
      <c r="F19" s="7">
        <v>2</v>
      </c>
    </row>
    <row r="20" spans="2:6" ht="122.25" customHeight="1" x14ac:dyDescent="0.25">
      <c r="B20" s="37" t="s">
        <v>12</v>
      </c>
      <c r="C20" s="7" t="s">
        <v>49</v>
      </c>
      <c r="D20" s="7" t="s">
        <v>50</v>
      </c>
      <c r="E20" s="7" t="s">
        <v>51</v>
      </c>
      <c r="F20" s="7" t="s">
        <v>52</v>
      </c>
    </row>
    <row r="21" spans="2:6" ht="24.75" customHeight="1" x14ac:dyDescent="0.25">
      <c r="B21" s="37"/>
      <c r="C21" s="8">
        <v>3</v>
      </c>
      <c r="D21" s="8">
        <v>4</v>
      </c>
      <c r="E21" s="8">
        <v>2</v>
      </c>
      <c r="F21" s="8">
        <v>3</v>
      </c>
    </row>
    <row r="22" spans="2:6" ht="179.25" customHeight="1" x14ac:dyDescent="0.25">
      <c r="B22" s="34" t="s">
        <v>16</v>
      </c>
      <c r="C22" s="34"/>
      <c r="D22" s="34"/>
      <c r="E22" s="34"/>
      <c r="F22" s="34"/>
    </row>
    <row r="23" spans="2:6" ht="46.5" customHeight="1" x14ac:dyDescent="0.25">
      <c r="B23" s="28"/>
      <c r="C23" s="28"/>
      <c r="D23" s="28"/>
      <c r="E23" s="28"/>
      <c r="F23" s="28"/>
    </row>
    <row r="24" spans="2:6" x14ac:dyDescent="0.25">
      <c r="B24" s="2"/>
    </row>
    <row r="25" spans="2:6" x14ac:dyDescent="0.25">
      <c r="D25" s="9" t="s">
        <v>53</v>
      </c>
    </row>
    <row r="39" spans="2:6" ht="90" customHeight="1" x14ac:dyDescent="0.25">
      <c r="B39" s="43" t="s">
        <v>172</v>
      </c>
      <c r="C39" s="22"/>
      <c r="E39" s="42" t="s">
        <v>173</v>
      </c>
      <c r="F39" s="23"/>
    </row>
    <row r="40" spans="2:6" ht="36" customHeight="1" x14ac:dyDescent="0.25"/>
    <row r="56" spans="2:6" ht="90" customHeight="1" x14ac:dyDescent="0.25">
      <c r="B56" s="42" t="s">
        <v>174</v>
      </c>
      <c r="C56" s="24"/>
      <c r="E56" s="41" t="s">
        <v>175</v>
      </c>
      <c r="F56" s="25"/>
    </row>
    <row r="57" spans="2:6" ht="36" customHeight="1" x14ac:dyDescent="0.25"/>
    <row r="73" spans="2:6" ht="90" customHeight="1" x14ac:dyDescent="0.25">
      <c r="B73" s="41" t="s">
        <v>171</v>
      </c>
      <c r="C73" s="40"/>
      <c r="E73" s="41" t="s">
        <v>176</v>
      </c>
      <c r="F73" s="40"/>
    </row>
    <row r="74" spans="2:6" ht="36" customHeight="1" x14ac:dyDescent="0.25"/>
    <row r="90" spans="2:6" ht="90" customHeight="1" x14ac:dyDescent="0.25">
      <c r="B90" s="39" t="s">
        <v>178</v>
      </c>
      <c r="C90" s="26"/>
      <c r="E90" s="41" t="s">
        <v>177</v>
      </c>
      <c r="F90" s="25"/>
    </row>
    <row r="91" spans="2:6" ht="36" customHeight="1" x14ac:dyDescent="0.25"/>
    <row r="107" spans="2:5" ht="90" customHeight="1" x14ac:dyDescent="0.25">
      <c r="B107" s="38" t="s">
        <v>179</v>
      </c>
      <c r="C107" s="24"/>
    </row>
    <row r="110" spans="2:5" ht="73.5" customHeight="1" x14ac:dyDescent="0.25">
      <c r="B110" s="19" t="s">
        <v>170</v>
      </c>
      <c r="C110" s="19"/>
      <c r="D110" s="19"/>
      <c r="E110" s="19"/>
    </row>
    <row r="112" spans="2:5" ht="18" x14ac:dyDescent="0.25">
      <c r="B112" s="10" t="s">
        <v>54</v>
      </c>
    </row>
    <row r="113" spans="2:6" s="17" customFormat="1" ht="50.25" customHeight="1" x14ac:dyDescent="0.25">
      <c r="B113" s="27" t="e" cm="1">
        <f t="array" ref="B113">_xlfn.IFS(C5=1,Hoja2!B70,D5=1,Hoja2!B74,E5=1,Hoja2!B78,F5=1,Hoja2!B82)</f>
        <v>#N/A</v>
      </c>
      <c r="C113" s="27"/>
      <c r="D113" s="20" t="str">
        <f>B39</f>
        <v>¿Por qué asignaste ese puntaje? Lo Elegí debido A que Me hace Falta En El Momento Mejorar Y Tomarme El Tiempo de las Principales Actividades Cotidianas.
¿Qué debes cambiar o mejorar para aumentar la valoración en las categorías con puntuaciones más bajas? Debo Cambiar Mi Estilo Rutinario Y Empezar A Usarlo de una Manera Más Organizada, Como Es El Sueño, Alimento, Y Mi Vida Social.</v>
      </c>
      <c r="E113" s="20"/>
      <c r="F113" s="16"/>
    </row>
    <row r="114" spans="2:6" s="17" customFormat="1" ht="50.25" customHeight="1" x14ac:dyDescent="0.25">
      <c r="B114" s="21" t="e" cm="1">
        <f t="array" ref="B114">_xlfn.IFS(C5=1,Hoja2!B71,D5=1,Hoja2!B75,E5=1,Hoja2!B79,F5=1,Hoja2!B83)</f>
        <v>#N/A</v>
      </c>
      <c r="C114" s="21"/>
      <c r="D114" s="20"/>
      <c r="E114" s="20"/>
      <c r="F114" s="16"/>
    </row>
    <row r="115" spans="2:6" ht="11.25" customHeight="1" x14ac:dyDescent="0.25">
      <c r="B115" s="14"/>
      <c r="C115" s="14"/>
    </row>
    <row r="116" spans="2:6" ht="21" customHeight="1" x14ac:dyDescent="0.25">
      <c r="B116" s="10" t="s">
        <v>59</v>
      </c>
      <c r="C116" s="14"/>
    </row>
    <row r="117" spans="2:6" s="17" customFormat="1" ht="50.25" customHeight="1" x14ac:dyDescent="0.25">
      <c r="B117" s="27" t="e" cm="1">
        <f t="array" ref="B117">_xlfn.IFS(C7=1,Hoja2!B88,D7=1,Hoja2!B92,E7=1,Hoja2!B96,F7=1,Hoja2!B100)</f>
        <v>#N/A</v>
      </c>
      <c r="C117" s="27"/>
      <c r="D117" s="20" t="str">
        <f>E39</f>
        <v>¿Por qué asignaste ese puntaje? Porque Cumplo Con lo Básico de Estas, Pero que Todavía Me Falta Mejorarlas Más Y Prácticar Un Entorno Más de Entretenimiento.
¿Qué debes cambiar o mejorar para aumentar la valoración en las categorías con puntuaciones más bajas? Debo Mejorar Mi Capacidad de Conocer Y Adaptar Nuevos Ambientes, Así Como El Entretenimiento Y la Creatividad, Respectivamente.</v>
      </c>
      <c r="E117" s="20"/>
      <c r="F117" s="16"/>
    </row>
    <row r="118" spans="2:6" s="17" customFormat="1" ht="50.25" customHeight="1" x14ac:dyDescent="0.25">
      <c r="B118" s="21" t="e" cm="1">
        <f t="array" ref="B118">_xlfn.IFS(C7=1,Hoja2!B89,D7=1,Hoja2!B93,E7=1,Hoja2!B97,F7=1,Hoja2!B101)</f>
        <v>#N/A</v>
      </c>
      <c r="C118" s="21"/>
      <c r="D118" s="20"/>
      <c r="E118" s="20"/>
      <c r="F118" s="16"/>
    </row>
    <row r="119" spans="2:6" x14ac:dyDescent="0.25">
      <c r="B119" s="14"/>
      <c r="C119" s="14"/>
    </row>
    <row r="120" spans="2:6" ht="18" x14ac:dyDescent="0.25">
      <c r="B120" s="10" t="s">
        <v>6</v>
      </c>
      <c r="C120" s="14"/>
    </row>
    <row r="121" spans="2:6" s="17" customFormat="1" ht="50.25" customHeight="1" x14ac:dyDescent="0.25">
      <c r="B121" s="27" t="e" cm="1">
        <f t="array" ref="B121">_xlfn.IFS(C9=1,Hoja2!B106,D9=1,Hoja2!B110,E9=1,Hoja2!B114,F9=1,Hoja2!B118)</f>
        <v>#N/A</v>
      </c>
      <c r="C121" s="27"/>
      <c r="D121" s="20" t="str">
        <f>B56</f>
        <v>¿Por qué asignaste ese puntaje? Lo Asigné de Esta Manera Porque Requiero de Mejorar Mi Vida Social, Así Como El Hablar Y Compartir Con las Personas y Sus Ambientes.
¿Qué debes cambiar o mejorar para aumentar la valoración en las categorías con puntuaciones más bajas? Debo Cambiar Mi Zona de Confort, Esto Y Con Una Ayuda Psicológica Para Poder Mejorar Mi Entorno Social, Y Evitar Un AutoAislamiento de Todo, O la Soledad.</v>
      </c>
      <c r="E121" s="20"/>
      <c r="F121" s="16"/>
    </row>
    <row r="122" spans="2:6" s="17" customFormat="1" ht="50.25" customHeight="1" x14ac:dyDescent="0.25">
      <c r="B122" s="21" t="e" cm="1">
        <f t="array" ref="B122">_xlfn.IFS(C9=1,Hoja2!B107,D9=1,Hoja2!B111,E9=1,Hoja2!B115,F9=1,Hoja2!B119)</f>
        <v>#N/A</v>
      </c>
      <c r="C122" s="21"/>
      <c r="D122" s="20"/>
      <c r="E122" s="20"/>
      <c r="F122" s="16"/>
    </row>
    <row r="123" spans="2:6" ht="15.75" customHeight="1" x14ac:dyDescent="0.25">
      <c r="B123" s="15"/>
      <c r="C123" s="15"/>
    </row>
    <row r="124" spans="2:6" ht="15.75" customHeight="1" x14ac:dyDescent="0.25">
      <c r="B124" s="10" t="s">
        <v>68</v>
      </c>
      <c r="C124" s="15"/>
    </row>
    <row r="125" spans="2:6" s="17" customFormat="1" ht="50.25" customHeight="1" x14ac:dyDescent="0.25">
      <c r="B125" s="27" t="e" cm="1">
        <f t="array" ref="B125">_xlfn.IFS(C11=1,Hoja2!B124,D11=1,Hoja2!B128,E11=1,Hoja2!B132,F11=1,Hoja2!B136)</f>
        <v>#N/A</v>
      </c>
      <c r="C125" s="27"/>
      <c r="D125" s="20" t="str">
        <f>E56</f>
        <v>¿Por qué asignaste ese puntaje? Debido A que Me Hace Falta Mejorar Una Manera de Trabajar En Nuevas ideas En Mi Vida Cotidiana Y Saberlas Manejar Junto Con lo demás.
¿Qué debes cambiar o mejorar para aumentar la valoración en las categorías con puntuaciones más bajas? Debo Cambiar las Constumbres Y Busca Nuevas ideas Sobre los Métodos de Diseño O inventos que Puedo Utilizar Tanto En los Aprendizajes O Temás Laborales, Como implementarlos Támbien A lo que Es Mi Vida Social Con los demás Y En lo Personal.</v>
      </c>
      <c r="E125" s="20"/>
      <c r="F125" s="16"/>
    </row>
    <row r="126" spans="2:6" s="17" customFormat="1" ht="50.25" customHeight="1" x14ac:dyDescent="0.25">
      <c r="B126" s="21" t="e" cm="1">
        <f t="array" ref="B126">_xlfn.IFS(C11=1,Hoja2!B125,D11=1,Hoja2!B129,E11=1,Hoja2!B133,F11=1,Hoja2!B137)</f>
        <v>#N/A</v>
      </c>
      <c r="C126" s="21"/>
      <c r="D126" s="20"/>
      <c r="E126" s="20"/>
      <c r="F126" s="16"/>
    </row>
    <row r="127" spans="2:6" x14ac:dyDescent="0.25">
      <c r="B127" s="14"/>
      <c r="C127" s="14"/>
    </row>
    <row r="128" spans="2:6" ht="18" x14ac:dyDescent="0.25">
      <c r="B128" s="10" t="s">
        <v>73</v>
      </c>
      <c r="C128" s="14"/>
    </row>
    <row r="129" spans="2:6" s="17" customFormat="1" ht="50.25" customHeight="1" x14ac:dyDescent="0.25">
      <c r="B129" s="27" t="e" cm="1">
        <f t="array" ref="B129">_xlfn.IFS(C13=1,Hoja2!B142,D13=1,Hoja2!B146,E13=1,Hoja2!B150,F13=1,Hoja2!B154)</f>
        <v>#N/A</v>
      </c>
      <c r="C129" s="27"/>
      <c r="D129" s="20" t="str">
        <f>B73</f>
        <v>¿Por qué asignaste ese puntaje? Debido A que Me he Visto Escaso A la Hora de Mi Vida Social, Tanto En Expresar Y Sentir Cualquier Afecto A los demás, Así Como Hablar Y Compartir Tanto Con Otras Personas Como En Ciertas Partes de Mi Familia.
¿Qué debes cambiar o mejorar para aumentar la valoración en las categorías con puntuaciones más bajas? Debo Cambiar Mi Educación dada En Mi Entorno Y Proponerme A Buscar Nuevas Amistades Y/o Personas, Animales O Vida Verde Para Mejorar Mi Capacidad de Expresión Y Los Distitntos Afectos que Se Suelen dar por Conocer.</v>
      </c>
      <c r="E129" s="20"/>
      <c r="F129" s="16"/>
    </row>
    <row r="130" spans="2:6" s="17" customFormat="1" ht="50.25" customHeight="1" x14ac:dyDescent="0.25">
      <c r="B130" s="21" t="e" cm="1">
        <f t="array" ref="B130">_xlfn.IFS(C13=1,Hoja2!B143,D13=1,Hoja2!B147,E13=1,Hoja2!B151,F13=1,Hoja2!B155)</f>
        <v>#N/A</v>
      </c>
      <c r="C130" s="21"/>
      <c r="D130" s="20"/>
      <c r="E130" s="20"/>
      <c r="F130" s="16"/>
    </row>
    <row r="131" spans="2:6" x14ac:dyDescent="0.25">
      <c r="B131" s="14"/>
      <c r="C131" s="14"/>
    </row>
    <row r="132" spans="2:6" ht="18" x14ac:dyDescent="0.25">
      <c r="B132" s="18" t="s">
        <v>9</v>
      </c>
      <c r="C132" s="14"/>
    </row>
    <row r="133" spans="2:6" s="17" customFormat="1" ht="50.25" customHeight="1" x14ac:dyDescent="0.25">
      <c r="B133" s="27" t="e" cm="1">
        <f t="array" ref="B133">_xlfn.IFS(C15=1,Hoja2!B160,D15=1,Hoja2!B164,E15=1,Hoja2!B168,F15=1,Hoja2!B172)</f>
        <v>#N/A</v>
      </c>
      <c r="C133" s="27"/>
      <c r="D133" s="20" t="str">
        <f>E73</f>
        <v>¿Por qué asignaste ese puntaje? Lo Escogí Porque Me Hace Falta Requerir Más Sobre Mi Conocimiento de Mi Propia Persona Y A Aprender Más Sobre Mis Gustos, Cosas Personales Y lo Negativo O No llamativo Sobre Mi Personalidad.
¿Qué debes cambiar o mejorar para aumentar la valoración en las categorías con puntuaciones más bajas? Debo Mejorar Mi Capacidad Mental Y Psicologica para Entender Mi Capacidad de Conocerme A Mi Mismo y lo que Me Marca Como Propio O de Mi Personalidad, Como Pueden Ser los Deportes, AutoEstima, Madurez, Integridad, Entre Otros.</v>
      </c>
      <c r="E133" s="20"/>
      <c r="F133" s="16"/>
    </row>
    <row r="134" spans="2:6" s="17" customFormat="1" ht="50.25" customHeight="1" x14ac:dyDescent="0.25">
      <c r="B134" s="21" t="e" cm="1">
        <f t="array" ref="B134">_xlfn.IFS(C15=1,Hoja2!B161,D15=1,Hoja2!B1655,E15=1,Hoja2!B169,F15=1,Hoja2!B173)</f>
        <v>#N/A</v>
      </c>
      <c r="C134" s="21"/>
      <c r="D134" s="20"/>
      <c r="E134" s="20"/>
      <c r="F134" s="16"/>
    </row>
    <row r="135" spans="2:6" s="17" customFormat="1" ht="17.25" customHeight="1" x14ac:dyDescent="0.25">
      <c r="B135" s="15"/>
      <c r="C135" s="15"/>
      <c r="D135" s="16"/>
      <c r="E135" s="16"/>
      <c r="F135" s="16"/>
    </row>
    <row r="136" spans="2:6" s="17" customFormat="1" ht="17.25" customHeight="1" x14ac:dyDescent="0.25">
      <c r="B136" s="10" t="s">
        <v>82</v>
      </c>
      <c r="C136" s="10"/>
      <c r="D136" s="16"/>
      <c r="E136" s="16"/>
      <c r="F136" s="16"/>
    </row>
    <row r="137" spans="2:6" s="17" customFormat="1" ht="50.25" customHeight="1" x14ac:dyDescent="0.25">
      <c r="B137" s="27" t="e" cm="1">
        <f t="array" ref="B137">_xlfn.IFS(C17=1,Hoja2!B180,D17=1,Hoja2!B184,E17=1,Hoja2!B188,F17=1,Hoja2!B192)</f>
        <v>#N/A</v>
      </c>
      <c r="C137" s="27"/>
      <c r="D137" s="20" t="str">
        <f>B90</f>
        <v>¿Por qué asignaste ese puntaje? Porque Me he Visto Muy Bien Educado Según Las Formativas Y Disciplina que he Ejercido, Junto Con lo Básico Sobre investigación Y Literatura.
¿Qué debes cambiar o mejorar para aumentar la valoración en las categorías con puntuaciones más bajas? En Este Caso No Veo Algo Necesario Para Aprender O Capacitar, Más Bien Mejorar Las Capacidades de Estudio y Sobre la Literatura Y Política Como En la Educación.</v>
      </c>
      <c r="E137" s="20"/>
      <c r="F137" s="16"/>
    </row>
    <row r="138" spans="2:6" s="17" customFormat="1" ht="50.25" customHeight="1" x14ac:dyDescent="0.25">
      <c r="B138" s="21" t="e" cm="1">
        <f t="array" ref="B138">_xlfn.IFS(C17=1,Hoja2!B181,D17=1,Hoja2!B185,E17=1,Hoja2!B189,F17=1,Hoja2!B193)</f>
        <v>#N/A</v>
      </c>
      <c r="C138" s="21"/>
      <c r="D138" s="20"/>
      <c r="E138" s="20"/>
      <c r="F138" s="16"/>
    </row>
    <row r="139" spans="2:6" s="17" customFormat="1" ht="50.25" customHeight="1" x14ac:dyDescent="0.25">
      <c r="B139" s="15"/>
      <c r="C139" s="15"/>
      <c r="D139" s="16"/>
      <c r="E139" s="16"/>
      <c r="F139" s="16"/>
    </row>
    <row r="140" spans="2:6" s="17" customFormat="1" ht="50.25" customHeight="1" x14ac:dyDescent="0.25">
      <c r="B140" s="10" t="s">
        <v>11</v>
      </c>
      <c r="C140" s="15"/>
      <c r="D140" s="16"/>
      <c r="E140" s="16"/>
      <c r="F140" s="16"/>
    </row>
    <row r="141" spans="2:6" s="17" customFormat="1" ht="50.25" customHeight="1" x14ac:dyDescent="0.25">
      <c r="B141" s="27" t="str" cm="1">
        <f t="array" ref="B141">_xlfn.IFS(C19=1,Hoja2!B198,D19=1,Hoja2!B202,E19=1,Hoja2!B206,F19=1,Hoja2!B210)</f>
        <v>RECOMENDACIÓN: Dedica tiempo a conocerte mejor y comprométete con proyectos que te ayuden a crecer. Esto puede incluir participar en actividades que desafíen tus habilidades.</v>
      </c>
      <c r="C141" s="27"/>
      <c r="D141" s="20" t="str">
        <f>E90</f>
        <v>¿Por qué asignaste ese puntaje? Lo Elegí Así Porque he Visto Por Cumplido Con lo Básico, Pero que Me hace Falta Más Sobre El Negarse A Ciertas Ocasiones Y Al Arriesgarse Para Cumplir Ciertos Objetivos que Tengo En Mi Mente que Conseguir.
¿Qué debes cambiar o mejorar para aumentar la valoración en las categorías con puntuaciones más bajas? Debo Comprometer Un Compromiso de Aprender A Buscar Una buena Autonomía Y Propias desiciones, Buscando Támbien Una Capacidad de Arriesgarme A Grandes Cosas que Me pueden Ayudar A ir Más Allá de los Propios Limites que Me Propongo A Hacer.</v>
      </c>
      <c r="E141" s="20"/>
      <c r="F141" s="16"/>
    </row>
    <row r="142" spans="2:6" s="17" customFormat="1" ht="50.25" customHeight="1" x14ac:dyDescent="0.25">
      <c r="B142" s="21" t="str" cm="1">
        <f t="array" ref="B142">_xlfn.IFS(C19=1,Hoja2!B199,D19=1,Hoja2!B203,E19=1,Hoja2!B207,F19=1,Hoja2!B211)</f>
        <v>EJEMPLO: Si te cuesta hablar en público, inscríbete en un taller de oratoria.</v>
      </c>
      <c r="C142" s="21"/>
      <c r="D142" s="20"/>
      <c r="E142" s="20"/>
      <c r="F142" s="16"/>
    </row>
    <row r="143" spans="2:6" s="17" customFormat="1" ht="50.25" customHeight="1" x14ac:dyDescent="0.25">
      <c r="B143" s="15"/>
      <c r="C143" s="15"/>
      <c r="D143" s="16"/>
      <c r="E143" s="16"/>
      <c r="F143" s="16"/>
    </row>
    <row r="144" spans="2:6" s="17" customFormat="1" ht="50.25" customHeight="1" x14ac:dyDescent="0.25">
      <c r="B144" s="10" t="s">
        <v>91</v>
      </c>
      <c r="C144" s="15"/>
      <c r="D144" s="16"/>
      <c r="E144" s="16"/>
      <c r="F144" s="16"/>
    </row>
    <row r="145" spans="2:6" s="17" customFormat="1" ht="50.25" customHeight="1" x14ac:dyDescent="0.25">
      <c r="B145" s="27" t="e" cm="1">
        <f t="array" ref="B145">_xlfn.IFS(C21=1,Hoja2!B216,D21=1,Hoja2!B220,E21=1,Hoja2!B224,F21=1,Hoja2!B228)</f>
        <v>#N/A</v>
      </c>
      <c r="C145" s="27"/>
      <c r="D145" s="20" t="str">
        <f>B107</f>
        <v>¿Por qué asignaste ese puntaje? Porque He Visto que he Carecido Con Compartir, Dialogar O Proponer Buenas ideas Hacia los demás, O En Mi Entorno Cotidiano.
¿Qué debes cambiar o mejorar para aumentar la valoración en las categorías con puntuaciones más bajas? Debo Cambiar Y Punto de Vista Y Tomar Ayudas Y Acciones Para Poder Mejorar Esas Capacidades que Hacen Falta Como Metodo de Vida Social.</v>
      </c>
      <c r="E145" s="20"/>
      <c r="F145" s="16"/>
    </row>
    <row r="146" spans="2:6" s="17" customFormat="1" ht="50.25" customHeight="1" x14ac:dyDescent="0.25">
      <c r="B146" s="21" t="e" cm="1">
        <f t="array" ref="B146">_xlfn.IFS(C21=1,Hoja2!B217,D21=1,Hoja2!B221,E21=1,Hoja2!B225,F21=1,Hoja2!B229)</f>
        <v>#N/A</v>
      </c>
      <c r="C146" s="21"/>
      <c r="D146" s="20"/>
      <c r="E146" s="20"/>
      <c r="F146" s="16"/>
    </row>
  </sheetData>
  <mergeCells count="51">
    <mergeCell ref="D145:E146"/>
    <mergeCell ref="D141:E142"/>
    <mergeCell ref="D117:E118"/>
    <mergeCell ref="D121:E122"/>
    <mergeCell ref="D125:E126"/>
    <mergeCell ref="D129:E130"/>
    <mergeCell ref="D133:E134"/>
    <mergeCell ref="D137:E138"/>
    <mergeCell ref="B23:F23"/>
    <mergeCell ref="B1:F1"/>
    <mergeCell ref="C2:F2"/>
    <mergeCell ref="B2:B3"/>
    <mergeCell ref="B22:F22"/>
    <mergeCell ref="B4:B5"/>
    <mergeCell ref="B6:B7"/>
    <mergeCell ref="B8:B9"/>
    <mergeCell ref="B10:B11"/>
    <mergeCell ref="B12:B13"/>
    <mergeCell ref="B14:B15"/>
    <mergeCell ref="B16:B17"/>
    <mergeCell ref="B18:B19"/>
    <mergeCell ref="B20:B21"/>
    <mergeCell ref="B113:C113"/>
    <mergeCell ref="B114:C114"/>
    <mergeCell ref="B122:C122"/>
    <mergeCell ref="B125:C125"/>
    <mergeCell ref="B117:C117"/>
    <mergeCell ref="B118:C118"/>
    <mergeCell ref="B121:C121"/>
    <mergeCell ref="B145:C145"/>
    <mergeCell ref="B126:C126"/>
    <mergeCell ref="B129:C129"/>
    <mergeCell ref="B130:C130"/>
    <mergeCell ref="B133:C133"/>
    <mergeCell ref="B134:C134"/>
    <mergeCell ref="B110:E110"/>
    <mergeCell ref="D113:E114"/>
    <mergeCell ref="B146:C146"/>
    <mergeCell ref="B39:C39"/>
    <mergeCell ref="E39:F39"/>
    <mergeCell ref="B56:C56"/>
    <mergeCell ref="E56:F56"/>
    <mergeCell ref="B90:C90"/>
    <mergeCell ref="E90:F90"/>
    <mergeCell ref="B107:C107"/>
    <mergeCell ref="E73:F73"/>
    <mergeCell ref="B73:C73"/>
    <mergeCell ref="B137:C137"/>
    <mergeCell ref="B138:C138"/>
    <mergeCell ref="B141:C141"/>
    <mergeCell ref="B142:C14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497D-A1AF-477D-AA69-0350AD595023}">
  <dimension ref="B63:B233"/>
  <sheetViews>
    <sheetView topLeftCell="A193" workbookViewId="0">
      <selection activeCell="B180" sqref="B180"/>
    </sheetView>
  </sheetViews>
  <sheetFormatPr baseColWidth="10" defaultRowHeight="15" x14ac:dyDescent="0.25"/>
  <cols>
    <col min="1" max="1" width="11.42578125" customWidth="1"/>
  </cols>
  <sheetData>
    <row r="63" spans="2:2" x14ac:dyDescent="0.25">
      <c r="B63" t="s">
        <v>131</v>
      </c>
    </row>
    <row r="67" spans="2:2" ht="18" x14ac:dyDescent="0.25">
      <c r="B67" s="10" t="s">
        <v>54</v>
      </c>
    </row>
    <row r="68" spans="2:2" x14ac:dyDescent="0.25">
      <c r="B68" s="11"/>
    </row>
    <row r="69" spans="2:2" x14ac:dyDescent="0.25">
      <c r="B69" s="12" t="s">
        <v>55</v>
      </c>
    </row>
    <row r="70" spans="2:2" x14ac:dyDescent="0.25">
      <c r="B70" s="13" t="s">
        <v>96</v>
      </c>
    </row>
    <row r="71" spans="2:2" x14ac:dyDescent="0.25">
      <c r="B71" s="13" t="s">
        <v>132</v>
      </c>
    </row>
    <row r="72" spans="2:2" x14ac:dyDescent="0.25">
      <c r="B72" s="11"/>
    </row>
    <row r="73" spans="2:2" x14ac:dyDescent="0.25">
      <c r="B73" s="12" t="s">
        <v>56</v>
      </c>
    </row>
    <row r="74" spans="2:2" x14ac:dyDescent="0.25">
      <c r="B74" s="13" t="s">
        <v>133</v>
      </c>
    </row>
    <row r="75" spans="2:2" x14ac:dyDescent="0.25">
      <c r="B75" s="13" t="s">
        <v>134</v>
      </c>
    </row>
    <row r="76" spans="2:2" x14ac:dyDescent="0.25">
      <c r="B76" s="11"/>
    </row>
    <row r="77" spans="2:2" x14ac:dyDescent="0.25">
      <c r="B77" s="12" t="s">
        <v>57</v>
      </c>
    </row>
    <row r="78" spans="2:2" x14ac:dyDescent="0.25">
      <c r="B78" s="13" t="s">
        <v>97</v>
      </c>
    </row>
    <row r="79" spans="2:2" x14ac:dyDescent="0.25">
      <c r="B79" s="13" t="s">
        <v>135</v>
      </c>
    </row>
    <row r="80" spans="2:2" x14ac:dyDescent="0.25">
      <c r="B80" s="11"/>
    </row>
    <row r="81" spans="2:2" x14ac:dyDescent="0.25">
      <c r="B81" s="12" t="s">
        <v>58</v>
      </c>
    </row>
    <row r="82" spans="2:2" x14ac:dyDescent="0.25">
      <c r="B82" s="13" t="s">
        <v>98</v>
      </c>
    </row>
    <row r="83" spans="2:2" x14ac:dyDescent="0.25">
      <c r="B83" s="13" t="s">
        <v>136</v>
      </c>
    </row>
    <row r="85" spans="2:2" ht="18" x14ac:dyDescent="0.25">
      <c r="B85" s="10" t="s">
        <v>59</v>
      </c>
    </row>
    <row r="86" spans="2:2" x14ac:dyDescent="0.25">
      <c r="B86" s="11"/>
    </row>
    <row r="87" spans="2:2" x14ac:dyDescent="0.25">
      <c r="B87" s="12" t="s">
        <v>60</v>
      </c>
    </row>
    <row r="88" spans="2:2" x14ac:dyDescent="0.25">
      <c r="B88" s="13" t="s">
        <v>99</v>
      </c>
    </row>
    <row r="89" spans="2:2" x14ac:dyDescent="0.25">
      <c r="B89" s="13" t="s">
        <v>137</v>
      </c>
    </row>
    <row r="90" spans="2:2" x14ac:dyDescent="0.25">
      <c r="B90" s="11"/>
    </row>
    <row r="91" spans="2:2" x14ac:dyDescent="0.25">
      <c r="B91" s="12" t="s">
        <v>61</v>
      </c>
    </row>
    <row r="92" spans="2:2" x14ac:dyDescent="0.25">
      <c r="B92" s="13" t="s">
        <v>100</v>
      </c>
    </row>
    <row r="93" spans="2:2" x14ac:dyDescent="0.25">
      <c r="B93" s="13" t="s">
        <v>138</v>
      </c>
    </row>
    <row r="94" spans="2:2" x14ac:dyDescent="0.25">
      <c r="B94" s="11"/>
    </row>
    <row r="95" spans="2:2" x14ac:dyDescent="0.25">
      <c r="B95" s="12" t="s">
        <v>62</v>
      </c>
    </row>
    <row r="96" spans="2:2" x14ac:dyDescent="0.25">
      <c r="B96" s="13" t="s">
        <v>101</v>
      </c>
    </row>
    <row r="97" spans="2:2" x14ac:dyDescent="0.25">
      <c r="B97" s="13" t="s">
        <v>139</v>
      </c>
    </row>
    <row r="98" spans="2:2" x14ac:dyDescent="0.25">
      <c r="B98" s="11"/>
    </row>
    <row r="99" spans="2:2" x14ac:dyDescent="0.25">
      <c r="B99" s="12" t="s">
        <v>63</v>
      </c>
    </row>
    <row r="100" spans="2:2" x14ac:dyDescent="0.25">
      <c r="B100" s="13" t="s">
        <v>102</v>
      </c>
    </row>
    <row r="101" spans="2:2" x14ac:dyDescent="0.25">
      <c r="B101" s="13" t="s">
        <v>140</v>
      </c>
    </row>
    <row r="103" spans="2:2" ht="18" x14ac:dyDescent="0.25">
      <c r="B103" s="10" t="s">
        <v>6</v>
      </c>
    </row>
    <row r="104" spans="2:2" x14ac:dyDescent="0.25">
      <c r="B104" s="11"/>
    </row>
    <row r="105" spans="2:2" x14ac:dyDescent="0.25">
      <c r="B105" s="12" t="s">
        <v>64</v>
      </c>
    </row>
    <row r="106" spans="2:2" x14ac:dyDescent="0.25">
      <c r="B106" s="13" t="s">
        <v>103</v>
      </c>
    </row>
    <row r="107" spans="2:2" x14ac:dyDescent="0.25">
      <c r="B107" s="13" t="s">
        <v>141</v>
      </c>
    </row>
    <row r="108" spans="2:2" x14ac:dyDescent="0.25">
      <c r="B108" s="11"/>
    </row>
    <row r="109" spans="2:2" x14ac:dyDescent="0.25">
      <c r="B109" s="12" t="s">
        <v>65</v>
      </c>
    </row>
    <row r="110" spans="2:2" x14ac:dyDescent="0.25">
      <c r="B110" s="13" t="s">
        <v>104</v>
      </c>
    </row>
    <row r="111" spans="2:2" x14ac:dyDescent="0.25">
      <c r="B111" s="13" t="s">
        <v>142</v>
      </c>
    </row>
    <row r="112" spans="2:2" x14ac:dyDescent="0.25">
      <c r="B112" s="11"/>
    </row>
    <row r="113" spans="2:2" x14ac:dyDescent="0.25">
      <c r="B113" s="12" t="s">
        <v>66</v>
      </c>
    </row>
    <row r="114" spans="2:2" x14ac:dyDescent="0.25">
      <c r="B114" s="13" t="s">
        <v>105</v>
      </c>
    </row>
    <row r="115" spans="2:2" x14ac:dyDescent="0.25">
      <c r="B115" s="13" t="s">
        <v>143</v>
      </c>
    </row>
    <row r="116" spans="2:2" x14ac:dyDescent="0.25">
      <c r="B116" s="11"/>
    </row>
    <row r="117" spans="2:2" x14ac:dyDescent="0.25">
      <c r="B117" s="12" t="s">
        <v>67</v>
      </c>
    </row>
    <row r="118" spans="2:2" x14ac:dyDescent="0.25">
      <c r="B118" s="13" t="s">
        <v>106</v>
      </c>
    </row>
    <row r="119" spans="2:2" x14ac:dyDescent="0.25">
      <c r="B119" s="13" t="s">
        <v>144</v>
      </c>
    </row>
    <row r="121" spans="2:2" ht="18" x14ac:dyDescent="0.25">
      <c r="B121" s="10" t="s">
        <v>68</v>
      </c>
    </row>
    <row r="122" spans="2:2" x14ac:dyDescent="0.25">
      <c r="B122" s="11"/>
    </row>
    <row r="123" spans="2:2" x14ac:dyDescent="0.25">
      <c r="B123" s="12" t="s">
        <v>69</v>
      </c>
    </row>
    <row r="124" spans="2:2" x14ac:dyDescent="0.25">
      <c r="B124" s="13" t="s">
        <v>107</v>
      </c>
    </row>
    <row r="125" spans="2:2" x14ac:dyDescent="0.25">
      <c r="B125" s="13" t="s">
        <v>145</v>
      </c>
    </row>
    <row r="126" spans="2:2" x14ac:dyDescent="0.25">
      <c r="B126" s="11"/>
    </row>
    <row r="127" spans="2:2" x14ac:dyDescent="0.25">
      <c r="B127" s="12" t="s">
        <v>70</v>
      </c>
    </row>
    <row r="128" spans="2:2" x14ac:dyDescent="0.25">
      <c r="B128" s="13" t="s">
        <v>108</v>
      </c>
    </row>
    <row r="129" spans="2:2" x14ac:dyDescent="0.25">
      <c r="B129" s="13" t="s">
        <v>146</v>
      </c>
    </row>
    <row r="130" spans="2:2" x14ac:dyDescent="0.25">
      <c r="B130" s="11"/>
    </row>
    <row r="131" spans="2:2" x14ac:dyDescent="0.25">
      <c r="B131" s="12" t="s">
        <v>71</v>
      </c>
    </row>
    <row r="132" spans="2:2" x14ac:dyDescent="0.25">
      <c r="B132" s="13" t="s">
        <v>109</v>
      </c>
    </row>
    <row r="133" spans="2:2" x14ac:dyDescent="0.25">
      <c r="B133" s="13" t="s">
        <v>147</v>
      </c>
    </row>
    <row r="134" spans="2:2" x14ac:dyDescent="0.25">
      <c r="B134" s="11"/>
    </row>
    <row r="135" spans="2:2" x14ac:dyDescent="0.25">
      <c r="B135" s="12" t="s">
        <v>72</v>
      </c>
    </row>
    <row r="136" spans="2:2" x14ac:dyDescent="0.25">
      <c r="B136" s="13" t="s">
        <v>110</v>
      </c>
    </row>
    <row r="137" spans="2:2" x14ac:dyDescent="0.25">
      <c r="B137" s="13" t="s">
        <v>148</v>
      </c>
    </row>
    <row r="139" spans="2:2" ht="18" x14ac:dyDescent="0.25">
      <c r="B139" s="10" t="s">
        <v>73</v>
      </c>
    </row>
    <row r="140" spans="2:2" x14ac:dyDescent="0.25">
      <c r="B140" s="11"/>
    </row>
    <row r="141" spans="2:2" x14ac:dyDescent="0.25">
      <c r="B141" s="12" t="s">
        <v>74</v>
      </c>
    </row>
    <row r="142" spans="2:2" x14ac:dyDescent="0.25">
      <c r="B142" s="11" t="s">
        <v>111</v>
      </c>
    </row>
    <row r="143" spans="2:2" x14ac:dyDescent="0.25">
      <c r="B143" s="11" t="s">
        <v>149</v>
      </c>
    </row>
    <row r="144" spans="2:2" x14ac:dyDescent="0.25">
      <c r="B144" s="11"/>
    </row>
    <row r="145" spans="2:2" x14ac:dyDescent="0.25">
      <c r="B145" s="12" t="s">
        <v>75</v>
      </c>
    </row>
    <row r="146" spans="2:2" x14ac:dyDescent="0.25">
      <c r="B146" s="11" t="s">
        <v>112</v>
      </c>
    </row>
    <row r="147" spans="2:2" x14ac:dyDescent="0.25">
      <c r="B147" s="11" t="s">
        <v>150</v>
      </c>
    </row>
    <row r="148" spans="2:2" x14ac:dyDescent="0.25">
      <c r="B148" s="11"/>
    </row>
    <row r="149" spans="2:2" x14ac:dyDescent="0.25">
      <c r="B149" s="12" t="s">
        <v>76</v>
      </c>
    </row>
    <row r="150" spans="2:2" x14ac:dyDescent="0.25">
      <c r="B150" s="11" t="s">
        <v>113</v>
      </c>
    </row>
    <row r="151" spans="2:2" x14ac:dyDescent="0.25">
      <c r="B151" s="11" t="s">
        <v>151</v>
      </c>
    </row>
    <row r="152" spans="2:2" x14ac:dyDescent="0.25">
      <c r="B152" s="11"/>
    </row>
    <row r="153" spans="2:2" x14ac:dyDescent="0.25">
      <c r="B153" s="12" t="s">
        <v>77</v>
      </c>
    </row>
    <row r="154" spans="2:2" x14ac:dyDescent="0.25">
      <c r="B154" s="11" t="s">
        <v>114</v>
      </c>
    </row>
    <row r="155" spans="2:2" x14ac:dyDescent="0.25">
      <c r="B155" s="11" t="s">
        <v>152</v>
      </c>
    </row>
    <row r="157" spans="2:2" ht="18" x14ac:dyDescent="0.25">
      <c r="B157" s="10" t="s">
        <v>9</v>
      </c>
    </row>
    <row r="158" spans="2:2" x14ac:dyDescent="0.25">
      <c r="B158" s="11"/>
    </row>
    <row r="159" spans="2:2" x14ac:dyDescent="0.25">
      <c r="B159" s="12" t="s">
        <v>78</v>
      </c>
    </row>
    <row r="160" spans="2:2" x14ac:dyDescent="0.25">
      <c r="B160" s="11" t="s">
        <v>115</v>
      </c>
    </row>
    <row r="161" spans="2:2" x14ac:dyDescent="0.25">
      <c r="B161" s="11" t="s">
        <v>153</v>
      </c>
    </row>
    <row r="162" spans="2:2" x14ac:dyDescent="0.25">
      <c r="B162" s="11"/>
    </row>
    <row r="163" spans="2:2" x14ac:dyDescent="0.25">
      <c r="B163" s="12" t="s">
        <v>79</v>
      </c>
    </row>
    <row r="164" spans="2:2" x14ac:dyDescent="0.25">
      <c r="B164" s="11" t="s">
        <v>116</v>
      </c>
    </row>
    <row r="165" spans="2:2" x14ac:dyDescent="0.25">
      <c r="B165" s="11" t="s">
        <v>154</v>
      </c>
    </row>
    <row r="166" spans="2:2" x14ac:dyDescent="0.25">
      <c r="B166" s="11"/>
    </row>
    <row r="167" spans="2:2" x14ac:dyDescent="0.25">
      <c r="B167" s="12" t="s">
        <v>80</v>
      </c>
    </row>
    <row r="168" spans="2:2" x14ac:dyDescent="0.25">
      <c r="B168" s="11" t="s">
        <v>117</v>
      </c>
    </row>
    <row r="169" spans="2:2" x14ac:dyDescent="0.25">
      <c r="B169" s="11" t="s">
        <v>155</v>
      </c>
    </row>
    <row r="170" spans="2:2" x14ac:dyDescent="0.25">
      <c r="B170" s="11"/>
    </row>
    <row r="171" spans="2:2" x14ac:dyDescent="0.25">
      <c r="B171" s="12" t="s">
        <v>81</v>
      </c>
    </row>
    <row r="172" spans="2:2" x14ac:dyDescent="0.25">
      <c r="B172" s="11" t="s">
        <v>118</v>
      </c>
    </row>
    <row r="173" spans="2:2" x14ac:dyDescent="0.25">
      <c r="B173" s="11" t="s">
        <v>156</v>
      </c>
    </row>
    <row r="177" spans="2:2" ht="18" x14ac:dyDescent="0.25">
      <c r="B177" s="10" t="s">
        <v>82</v>
      </c>
    </row>
    <row r="178" spans="2:2" x14ac:dyDescent="0.25">
      <c r="B178" s="11"/>
    </row>
    <row r="179" spans="2:2" x14ac:dyDescent="0.25">
      <c r="B179" s="12" t="s">
        <v>83</v>
      </c>
    </row>
    <row r="180" spans="2:2" x14ac:dyDescent="0.25">
      <c r="B180" s="11" t="s">
        <v>119</v>
      </c>
    </row>
    <row r="181" spans="2:2" x14ac:dyDescent="0.25">
      <c r="B181" s="11" t="s">
        <v>157</v>
      </c>
    </row>
    <row r="182" spans="2:2" x14ac:dyDescent="0.25">
      <c r="B182" s="11"/>
    </row>
    <row r="183" spans="2:2" x14ac:dyDescent="0.25">
      <c r="B183" s="12" t="s">
        <v>84</v>
      </c>
    </row>
    <row r="184" spans="2:2" x14ac:dyDescent="0.25">
      <c r="B184" s="11" t="s">
        <v>120</v>
      </c>
    </row>
    <row r="185" spans="2:2" x14ac:dyDescent="0.25">
      <c r="B185" s="11" t="s">
        <v>158</v>
      </c>
    </row>
    <row r="186" spans="2:2" x14ac:dyDescent="0.25">
      <c r="B186" s="11"/>
    </row>
    <row r="187" spans="2:2" x14ac:dyDescent="0.25">
      <c r="B187" s="12" t="s">
        <v>85</v>
      </c>
    </row>
    <row r="188" spans="2:2" x14ac:dyDescent="0.25">
      <c r="B188" s="11" t="s">
        <v>121</v>
      </c>
    </row>
    <row r="189" spans="2:2" x14ac:dyDescent="0.25">
      <c r="B189" s="11" t="s">
        <v>159</v>
      </c>
    </row>
    <row r="190" spans="2:2" x14ac:dyDescent="0.25">
      <c r="B190" s="11"/>
    </row>
    <row r="191" spans="2:2" x14ac:dyDescent="0.25">
      <c r="B191" s="12" t="s">
        <v>86</v>
      </c>
    </row>
    <row r="192" spans="2:2" x14ac:dyDescent="0.25">
      <c r="B192" s="11" t="s">
        <v>122</v>
      </c>
    </row>
    <row r="193" spans="2:2" x14ac:dyDescent="0.25">
      <c r="B193" s="11" t="s">
        <v>160</v>
      </c>
    </row>
    <row r="195" spans="2:2" ht="18" x14ac:dyDescent="0.25">
      <c r="B195" s="10" t="s">
        <v>11</v>
      </c>
    </row>
    <row r="196" spans="2:2" x14ac:dyDescent="0.25">
      <c r="B196" s="11"/>
    </row>
    <row r="197" spans="2:2" x14ac:dyDescent="0.25">
      <c r="B197" s="12" t="s">
        <v>87</v>
      </c>
    </row>
    <row r="198" spans="2:2" x14ac:dyDescent="0.25">
      <c r="B198" s="11" t="s">
        <v>123</v>
      </c>
    </row>
    <row r="199" spans="2:2" x14ac:dyDescent="0.25">
      <c r="B199" s="11" t="s">
        <v>161</v>
      </c>
    </row>
    <row r="200" spans="2:2" x14ac:dyDescent="0.25">
      <c r="B200" s="11"/>
    </row>
    <row r="201" spans="2:2" x14ac:dyDescent="0.25">
      <c r="B201" s="12" t="s">
        <v>88</v>
      </c>
    </row>
    <row r="202" spans="2:2" x14ac:dyDescent="0.25">
      <c r="B202" s="11" t="s">
        <v>124</v>
      </c>
    </row>
    <row r="203" spans="2:2" x14ac:dyDescent="0.25">
      <c r="B203" s="11" t="s">
        <v>162</v>
      </c>
    </row>
    <row r="204" spans="2:2" x14ac:dyDescent="0.25">
      <c r="B204" s="11"/>
    </row>
    <row r="205" spans="2:2" x14ac:dyDescent="0.25">
      <c r="B205" s="12" t="s">
        <v>89</v>
      </c>
    </row>
    <row r="206" spans="2:2" x14ac:dyDescent="0.25">
      <c r="B206" s="11" t="s">
        <v>125</v>
      </c>
    </row>
    <row r="207" spans="2:2" x14ac:dyDescent="0.25">
      <c r="B207" s="11" t="s">
        <v>163</v>
      </c>
    </row>
    <row r="208" spans="2:2" x14ac:dyDescent="0.25">
      <c r="B208" s="11"/>
    </row>
    <row r="209" spans="2:2" x14ac:dyDescent="0.25">
      <c r="B209" s="12" t="s">
        <v>90</v>
      </c>
    </row>
    <row r="210" spans="2:2" x14ac:dyDescent="0.25">
      <c r="B210" s="11" t="s">
        <v>126</v>
      </c>
    </row>
    <row r="211" spans="2:2" x14ac:dyDescent="0.25">
      <c r="B211" s="11" t="s">
        <v>164</v>
      </c>
    </row>
    <row r="213" spans="2:2" ht="18" x14ac:dyDescent="0.25">
      <c r="B213" s="10" t="s">
        <v>91</v>
      </c>
    </row>
    <row r="214" spans="2:2" x14ac:dyDescent="0.25">
      <c r="B214" s="11"/>
    </row>
    <row r="215" spans="2:2" x14ac:dyDescent="0.25">
      <c r="B215" s="12" t="s">
        <v>92</v>
      </c>
    </row>
    <row r="216" spans="2:2" x14ac:dyDescent="0.25">
      <c r="B216" s="11" t="s">
        <v>127</v>
      </c>
    </row>
    <row r="217" spans="2:2" x14ac:dyDescent="0.25">
      <c r="B217" s="11" t="s">
        <v>165</v>
      </c>
    </row>
    <row r="218" spans="2:2" x14ac:dyDescent="0.25">
      <c r="B218" s="11"/>
    </row>
    <row r="219" spans="2:2" x14ac:dyDescent="0.25">
      <c r="B219" s="12" t="s">
        <v>93</v>
      </c>
    </row>
    <row r="220" spans="2:2" x14ac:dyDescent="0.25">
      <c r="B220" s="11" t="s">
        <v>128</v>
      </c>
    </row>
    <row r="221" spans="2:2" x14ac:dyDescent="0.25">
      <c r="B221" s="11" t="s">
        <v>166</v>
      </c>
    </row>
    <row r="222" spans="2:2" x14ac:dyDescent="0.25">
      <c r="B222" s="11"/>
    </row>
    <row r="223" spans="2:2" x14ac:dyDescent="0.25">
      <c r="B223" s="12" t="s">
        <v>94</v>
      </c>
    </row>
    <row r="224" spans="2:2" x14ac:dyDescent="0.25">
      <c r="B224" s="11" t="s">
        <v>129</v>
      </c>
    </row>
    <row r="225" spans="2:2" x14ac:dyDescent="0.25">
      <c r="B225" s="11" t="s">
        <v>167</v>
      </c>
    </row>
    <row r="226" spans="2:2" x14ac:dyDescent="0.25">
      <c r="B226" s="11"/>
    </row>
    <row r="227" spans="2:2" x14ac:dyDescent="0.25">
      <c r="B227" s="12" t="s">
        <v>95</v>
      </c>
    </row>
    <row r="228" spans="2:2" x14ac:dyDescent="0.25">
      <c r="B228" s="11" t="s">
        <v>130</v>
      </c>
    </row>
    <row r="229" spans="2:2" x14ac:dyDescent="0.25">
      <c r="B229" s="11" t="s">
        <v>168</v>
      </c>
    </row>
    <row r="233" spans="2:2" x14ac:dyDescent="0.25">
      <c r="B233"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 T Mayo 2024</cp:lastModifiedBy>
  <dcterms:created xsi:type="dcterms:W3CDTF">2020-08-11T13:56:47Z</dcterms:created>
  <dcterms:modified xsi:type="dcterms:W3CDTF">2025-03-02T18:46:35Z</dcterms:modified>
</cp:coreProperties>
</file>