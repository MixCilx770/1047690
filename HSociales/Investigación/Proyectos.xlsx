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uniminuto0-my.sharepoint.com/personal/brenda_atehortua_uniminuto_edu/Documents/Archivos de chat de Microsoft Teams/"/>
    </mc:Choice>
  </mc:AlternateContent>
  <xr:revisionPtr revIDLastSave="6" documentId="8_{ACB8B462-306B-4E37-B1FC-6088AB6665F7}" xr6:coauthVersionLast="47" xr6:coauthVersionMax="47" xr10:uidLastSave="{D66E7DAC-66E9-45F5-98E3-0527EAF3A7F2}"/>
  <bookViews>
    <workbookView xWindow="-120" yWindow="-120" windowWidth="29040" windowHeight="15840" firstSheet="2" activeTab="2" xr2:uid="{53A8FC25-15B7-4895-B12C-3E3EAFC2259B}"/>
  </bookViews>
  <sheets>
    <sheet name="Hoja1" sheetId="1" state="hidden" r:id="rId1"/>
    <sheet name="Hoja3" sheetId="3" r:id="rId2"/>
    <sheet name="Hoja2" sheetId="2" r:id="rId3"/>
  </sheets>
  <definedNames>
    <definedName name="_xlnm._FilterDatabase" localSheetId="2" hidden="1">Hoja2!$A$2:$B$13</definedName>
    <definedName name="_xlnm._FilterDatabase" localSheetId="1" hidden="1">Hoja3!$A$3:$K$8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3" l="1"/>
  <c r="J8" i="3"/>
  <c r="J7" i="3"/>
  <c r="J6" i="3"/>
  <c r="J11" i="3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Q37" i="1"/>
  <c r="D49" i="1"/>
  <c r="B49" i="1"/>
  <c r="C49" i="1"/>
  <c r="K24" i="1"/>
  <c r="J24" i="1"/>
  <c r="I24" i="1"/>
  <c r="H24" i="1"/>
  <c r="G24" i="1"/>
  <c r="F24" i="1"/>
  <c r="E24" i="1"/>
  <c r="D24" i="1"/>
  <c r="C24" i="1"/>
  <c r="B24" i="1"/>
  <c r="L3" i="1"/>
  <c r="F49" i="1" l="1"/>
  <c r="E49" i="1"/>
  <c r="L24" i="1"/>
  <c r="G49" i="1" l="1"/>
  <c r="H49" i="1" l="1"/>
  <c r="I49" i="1" l="1"/>
  <c r="J49" i="1" l="1"/>
  <c r="K49" i="1"/>
  <c r="L49" i="1" l="1"/>
</calcChain>
</file>

<file path=xl/sharedStrings.xml><?xml version="1.0" encoding="utf-8"?>
<sst xmlns="http://schemas.openxmlformats.org/spreadsheetml/2006/main" count="136" uniqueCount="90">
  <si>
    <t># Proyectos</t>
  </si>
  <si>
    <t>N°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</si>
  <si>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</si>
  <si>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</si>
  <si>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</si>
  <si>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</si>
  <si>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</si>
  <si>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</si>
  <si>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</si>
  <si>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</si>
  <si>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</si>
  <si>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 xml:space="preserve">Noviembre </t>
  </si>
  <si>
    <t>Ejecución técnica</t>
  </si>
  <si>
    <t>x</t>
  </si>
  <si>
    <t>Activos</t>
  </si>
  <si>
    <t>Tipo de proyecto</t>
  </si>
  <si>
    <t>Código</t>
  </si>
  <si>
    <t>Proyecto</t>
  </si>
  <si>
    <t>Investigador Principal</t>
  </si>
  <si>
    <t>Programa 1</t>
  </si>
  <si>
    <t>Programa 2</t>
  </si>
  <si>
    <t>Programa 3</t>
  </si>
  <si>
    <t>TÉCNICA</t>
  </si>
  <si>
    <t>PRESPUESTAL</t>
  </si>
  <si>
    <t>Convocatoria interna</t>
  </si>
  <si>
    <t>CN24-04</t>
  </si>
  <si>
    <t xml:space="preserve">Integración humana y social de las TIC en la educación: un análisis en instituciones rurales y urbanas </t>
  </si>
  <si>
    <t>Maira Alejandra
Pulgarín Rodríguez</t>
  </si>
  <si>
    <t>Maestría en Educación</t>
  </si>
  <si>
    <t>Licenciatura en Educación Infantil</t>
  </si>
  <si>
    <t>N/A</t>
  </si>
  <si>
    <t>CB24-04</t>
  </si>
  <si>
    <t>LA FAMILIA RURAL COMO SUJETO POLÍTICO SOCIAL, SU VINCULACIÓN A LAS
ORGANIZACIONES SOCIALES, Y A LA CONSTRUCCIÓN DE LA ECONOMÍA, EL DESARROLLO Y LA
DEMOCRACIA LOCAL. MUNICIPIOS DE SAN VICENTE FERRER Y SAN RAFAEL ANTIOQUIA.</t>
  </si>
  <si>
    <t>YUNIA MARÍA MANCO LÓPEZ</t>
  </si>
  <si>
    <t>Maestría en Familia</t>
  </si>
  <si>
    <t>Especialización en Familia, Infancia y Adolescencia</t>
  </si>
  <si>
    <t>Especialización en Psicología Organizacional</t>
  </si>
  <si>
    <t>C124-200-6605</t>
  </si>
  <si>
    <t>EL ENFOQUE STEM EN LA FORMACIÓN DE PROFESORES, HACIA LA TRANSFORMACIÓN DE LAS
PRÁCTICAS PEDAGÓGICA</t>
  </si>
  <si>
    <t>MAIRA ALEJANDRA PULGARIN RODRIGUEZ/ALFONSO MANUEL SIERRA MARTES
(Coinvestigadores)</t>
  </si>
  <si>
    <t>C124-300-6413</t>
  </si>
  <si>
    <t>PERCEPCIÓN Y FACTORES RELACIONADOS CON ESTRÉS, DEPRESIÓN, ANSIEDAD, RESILIENCIA,
TRASTORNOS DEL SUEÑO Y APOYO A LAS SEGUNDAS VÍCTIMAS DE UN EVENTO ADVERSO EN
LATINOAMÉRICA EN EL AÑO 2024-2025</t>
  </si>
  <si>
    <t>Magda Juliette Chacón Serna (Coinvestigadora)</t>
  </si>
  <si>
    <t>Especialización en Gerencia de Riesgos Laborales, Seguridad y Salud en el Trabajo</t>
  </si>
  <si>
    <t>Jornada Docente (Proyecto de semillero)</t>
  </si>
  <si>
    <t>PS25-51</t>
  </si>
  <si>
    <t>Características de la práctica pedagógica de docentes de educación secundaria del Colegio
Emilia Riquelme, en el acompañamiento a estudiantes en duelo, con el fin de estructurar una
estrategia formativa sistémica que fortalezca sus competencias en el apoyo emocional_x000D_</t>
  </si>
  <si>
    <t>Carlos Mario Ortega Rojas (Tutor)</t>
  </si>
  <si>
    <t>En proceso de activación</t>
  </si>
  <si>
    <t>CIOP225-520-8140</t>
  </si>
  <si>
    <t>Las Representaciones Sociales Sobre el Conflicto Armado Interno. una Categoría de Abordaje
para Pensar la Escuela Como Territorio de Paz en el Municipio de Copacabana</t>
  </si>
  <si>
    <t>Carlos Enrique Mosquera Mosquera</t>
  </si>
  <si>
    <t>CIOP225-520-8206</t>
  </si>
  <si>
    <t>Cuidar el Agua, Sembrar Paz: Narrativas Comunitarias y Prácticas de Convivencia en Abejorral
(Antioquia, Colombia)</t>
  </si>
  <si>
    <t>Pendiente por asignar</t>
  </si>
  <si>
    <t>Contaduría Pública</t>
  </si>
  <si>
    <t>Licenciatura en Educación Física</t>
  </si>
  <si>
    <t>CU APARTADÓ</t>
  </si>
  <si>
    <t>CU ITAGÜÍ</t>
  </si>
  <si>
    <t>EACEA</t>
  </si>
  <si>
    <t>ECHS</t>
  </si>
  <si>
    <t>EEVD</t>
  </si>
  <si>
    <t>EING</t>
  </si>
  <si>
    <t>ESALUD</t>
  </si>
  <si>
    <t>POSGRADOS</t>
  </si>
  <si>
    <t>Indicadores</t>
  </si>
  <si>
    <t>Administración de Empresas</t>
  </si>
  <si>
    <t>Psicología</t>
  </si>
  <si>
    <t>Administración en Seguridad y Salud en el Trabajo</t>
  </si>
  <si>
    <t>Trabajo Social</t>
  </si>
  <si>
    <t>Tec. En mercadeo Internacional</t>
  </si>
  <si>
    <t>Comunicación Social y Periodismo</t>
  </si>
  <si>
    <t>Administración Financiera</t>
  </si>
  <si>
    <t>Ingeniería de Software</t>
  </si>
  <si>
    <t>Ciencias Básicas</t>
  </si>
  <si>
    <t>Todos los programas</t>
  </si>
  <si>
    <t>Especialización en Gerencia de Riesgos Laborales</t>
  </si>
  <si>
    <t>Maestria en Educación</t>
  </si>
  <si>
    <t>Especialización en Gerencia de Proyectos</t>
  </si>
  <si>
    <t>1 proyecto postulado a convocatoria interna por programa académico activo (como ejecutor principal)</t>
  </si>
  <si>
    <t>1 proyecto postulado a convocatoria interna por programa académico activo (como coejecutores)</t>
  </si>
  <si>
    <t>1 proyecto postulado a convocatoria externa por programa académico activo (como ejecutor principal o coejecutor)</t>
  </si>
  <si>
    <t xml:space="preserve">1 proyecto ejecutado en 2026-1 por programa académico activo en cada tipología </t>
  </si>
  <si>
    <t>100% de los proyectos cumplen requisitos de activación por programa académico activo</t>
  </si>
  <si>
    <t>100% de los proyectos con ejecución técnica y presupuestal al día por programa académico activo</t>
  </si>
  <si>
    <t>100% de los proyectos cerrados exitosamente por programa académico activo</t>
  </si>
  <si>
    <t>100% de los proyectos liquidados en la fecha establecida por programa académico activo</t>
  </si>
  <si>
    <t>100% de los productos esperados son obtenidos por programa académico activo.</t>
  </si>
  <si>
    <t>100% de los productos esperados son obtenidos</t>
  </si>
  <si>
    <t>100% de las movilidades en investigación solicitadas por programa académico activo son realizadas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</si>
</sst>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8" x14ac:knownFonts="1">
    <font>
      <sz val="11"/>
      <color theme="1"/>
      <name val="Aptos Narrow"/>
      <family val="2"/>
      <scheme val="minor"/>
    </font>
    <font>
      <b/>
      <sz val="9"/>
      <color rgb="FFFFFFFF"/>
      <name val="Aptos Display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"/>
      <family val="2"/>
    </font>
    <font>
      <sz val="11"/>
      <name val="Aptos Narrow"/>
      <family val="2"/>
      <scheme val="minor"/>
    </font>
    <font>
      <sz val="8"/>
      <color rgb="FF000000"/>
      <name val="Calibri"/>
      <family val="2"/>
    </font>
    <font>
      <b/>
      <sz val="12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B94B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1"/>
    </xf>
    <xf numFmtId="9" fontId="0" fillId="0" borderId="0" xfId="1" applyFont="1"/>
    <xf numFmtId="10" fontId="0" fillId="0" borderId="0" xfId="1" applyNumberFormat="1" applyFont="1"/>
    <xf numFmtId="0" fontId="0" fillId="0" borderId="0" xfId="0" applyAlignment="1">
      <alignment horizontal="center" vertical="center"/>
    </xf>
    <xf numFmtId="2" fontId="0" fillId="0" borderId="0" xfId="1" applyNumberFormat="1" applyFont="1"/>
    <xf numFmtId="2" fontId="0" fillId="0" borderId="0" xfId="0" applyNumberFormat="1"/>
    <xf numFmtId="9" fontId="0" fillId="0" borderId="0" xfId="0" applyNumberFormat="1"/>
    <xf numFmtId="44" fontId="0" fillId="0" borderId="0" xfId="2" applyFont="1"/>
    <xf numFmtId="0" fontId="0" fillId="0" borderId="4" xfId="0" applyBorder="1" applyAlignment="1">
      <alignment horizontal="center" vertical="center"/>
    </xf>
    <xf numFmtId="9" fontId="0" fillId="0" borderId="4" xfId="0" applyNumberFormat="1" applyBorder="1" applyAlignment="1">
      <alignment horizontal="center" vertical="center"/>
    </xf>
    <xf numFmtId="0" fontId="0" fillId="0" borderId="0" xfId="0" applyAlignment="1">
      <alignment wrapText="1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10" fontId="6" fillId="4" borderId="3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 readingOrder="1"/>
    </xf>
    <xf numFmtId="0" fontId="1" fillId="5" borderId="4" xfId="0" applyFont="1" applyFill="1" applyBorder="1" applyAlignment="1">
      <alignment horizontal="center" vertical="center" wrapText="1" readingOrder="1"/>
    </xf>
    <xf numFmtId="0" fontId="1" fillId="7" borderId="4" xfId="0" applyFont="1" applyFill="1" applyBorder="1" applyAlignment="1">
      <alignment horizontal="center" vertical="center" wrapText="1" readingOrder="1"/>
    </xf>
    <xf numFmtId="0" fontId="1" fillId="8" borderId="4" xfId="0" applyFont="1" applyFill="1" applyBorder="1" applyAlignment="1">
      <alignment horizontal="center" vertical="center" wrapText="1" readingOrder="1"/>
    </xf>
    <xf numFmtId="0" fontId="1" fillId="9" borderId="4" xfId="0" applyFont="1" applyFill="1" applyBorder="1" applyAlignment="1">
      <alignment horizontal="center" vertical="center" wrapText="1" readingOrder="1"/>
    </xf>
    <xf numFmtId="0" fontId="7" fillId="0" borderId="4" xfId="0" applyFont="1" applyBorder="1" applyAlignment="1">
      <alignment horizontal="center" vertical="center" wrapText="1" readingOrder="1"/>
    </xf>
    <xf numFmtId="0" fontId="1" fillId="6" borderId="4" xfId="0" applyFont="1" applyFill="1" applyBorder="1" applyAlignment="1">
      <alignment horizontal="center" vertical="center" wrapText="1" readingOrder="1"/>
    </xf>
    <xf numFmtId="0" fontId="0" fillId="0" borderId="8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3">
    <cellStyle name="Moneda" xfId="2" builtinId="4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E5FB8-DAED-4BE5-8859-5583BCEEB3C6}">
  <dimension ref="A1:Q57"/>
  <sheetViews>
    <sheetView workbookViewId="0">
      <selection activeCell="D54" sqref="D54:D55"/>
    </sheetView>
  </sheetViews>
  <sheetFormatPr baseColWidth="10" defaultColWidth="11.42578125" defaultRowHeight="15" x14ac:dyDescent="0.25"/>
  <cols>
    <col min="1" max="1" width="6.5703125" customWidth="1"/>
    <col min="16" max="16" width="14.5703125" bestFit="1" customWidth="1"/>
    <col min="17" max="17" width="13" bestFit="1" customWidth="1"/>
  </cols>
  <sheetData>
    <row r="1" spans="1:12" x14ac:dyDescent="0.25">
      <c r="A1" s="37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1:12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2" x14ac:dyDescent="0.25">
      <c r="A3" s="4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6">
        <f>+SUM(B3:K3)</f>
        <v>0</v>
      </c>
    </row>
    <row r="4" spans="1:12" x14ac:dyDescent="0.25">
      <c r="A4" s="4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6">
        <f t="shared" ref="L4:L23" si="0">+SUM(B4:K4)</f>
        <v>0</v>
      </c>
    </row>
    <row r="5" spans="1:12" x14ac:dyDescent="0.25">
      <c r="A5" s="4">
        <v>3</v>
      </c>
      <c r="B5" s="5"/>
      <c r="C5" s="5"/>
      <c r="D5" s="5"/>
      <c r="E5" s="5"/>
      <c r="F5" s="5"/>
      <c r="G5" s="5"/>
      <c r="H5" s="5"/>
      <c r="I5" s="5"/>
      <c r="J5" s="5"/>
      <c r="K5" s="5"/>
      <c r="L5" s="6">
        <f t="shared" si="0"/>
        <v>0</v>
      </c>
    </row>
    <row r="6" spans="1:12" x14ac:dyDescent="0.25">
      <c r="A6" s="4">
        <v>4</v>
      </c>
      <c r="B6" s="5"/>
      <c r="C6" s="5"/>
      <c r="D6" s="5"/>
      <c r="E6" s="5"/>
      <c r="F6" s="5"/>
      <c r="G6" s="5"/>
      <c r="H6" s="5"/>
      <c r="I6" s="5"/>
      <c r="J6" s="5"/>
      <c r="K6" s="5"/>
      <c r="L6" s="6">
        <f t="shared" si="0"/>
        <v>0</v>
      </c>
    </row>
    <row r="7" spans="1:12" x14ac:dyDescent="0.25">
      <c r="A7" s="4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6">
        <f t="shared" si="0"/>
        <v>0</v>
      </c>
    </row>
    <row r="8" spans="1:12" x14ac:dyDescent="0.25">
      <c r="A8" s="4">
        <v>6</v>
      </c>
      <c r="B8" s="5"/>
      <c r="C8" s="5"/>
      <c r="D8" s="5"/>
      <c r="E8" s="5"/>
      <c r="F8" s="5"/>
      <c r="G8" s="5"/>
      <c r="H8" s="5"/>
      <c r="I8" s="5"/>
      <c r="J8" s="5"/>
      <c r="K8" s="5"/>
      <c r="L8" s="6">
        <f t="shared" si="0"/>
        <v>0</v>
      </c>
    </row>
    <row r="9" spans="1:12" x14ac:dyDescent="0.25">
      <c r="A9" s="4">
        <v>7</v>
      </c>
      <c r="B9" s="5"/>
      <c r="C9" s="5"/>
      <c r="D9" s="5"/>
      <c r="E9" s="5"/>
      <c r="F9" s="5"/>
      <c r="G9" s="5"/>
      <c r="H9" s="5"/>
      <c r="I9" s="5"/>
      <c r="J9" s="5"/>
      <c r="K9" s="5"/>
      <c r="L9" s="6">
        <f t="shared" si="0"/>
        <v>0</v>
      </c>
    </row>
    <row r="10" spans="1:12" x14ac:dyDescent="0.25">
      <c r="A10" s="4">
        <v>8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6">
        <f t="shared" si="0"/>
        <v>0</v>
      </c>
    </row>
    <row r="11" spans="1:12" x14ac:dyDescent="0.25">
      <c r="A11" s="4">
        <v>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6">
        <f t="shared" si="0"/>
        <v>0</v>
      </c>
    </row>
    <row r="12" spans="1:12" x14ac:dyDescent="0.25">
      <c r="A12" s="4">
        <v>10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6">
        <f t="shared" si="0"/>
        <v>0</v>
      </c>
    </row>
    <row r="13" spans="1:12" x14ac:dyDescent="0.25">
      <c r="A13" s="4">
        <v>11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6">
        <f t="shared" si="0"/>
        <v>0</v>
      </c>
    </row>
    <row r="14" spans="1:12" x14ac:dyDescent="0.25">
      <c r="A14" s="4">
        <v>12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6">
        <f t="shared" si="0"/>
        <v>0</v>
      </c>
    </row>
    <row r="15" spans="1:12" x14ac:dyDescent="0.25">
      <c r="A15" s="4">
        <v>13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6">
        <f t="shared" si="0"/>
        <v>0</v>
      </c>
    </row>
    <row r="16" spans="1:12" x14ac:dyDescent="0.25">
      <c r="A16" s="4">
        <v>14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6">
        <f t="shared" si="0"/>
        <v>0</v>
      </c>
    </row>
    <row r="17" spans="1:12" x14ac:dyDescent="0.25">
      <c r="A17" s="4">
        <v>15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6">
        <f t="shared" si="0"/>
        <v>0</v>
      </c>
    </row>
    <row r="18" spans="1:12" x14ac:dyDescent="0.25">
      <c r="A18" s="4">
        <v>16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6">
        <f t="shared" si="0"/>
        <v>0</v>
      </c>
    </row>
    <row r="19" spans="1:12" x14ac:dyDescent="0.25">
      <c r="A19" s="4">
        <v>17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6">
        <f t="shared" si="0"/>
        <v>0</v>
      </c>
    </row>
    <row r="20" spans="1:12" x14ac:dyDescent="0.25">
      <c r="A20" s="4">
        <v>18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6">
        <f t="shared" si="0"/>
        <v>0</v>
      </c>
    </row>
    <row r="21" spans="1:12" x14ac:dyDescent="0.25">
      <c r="A21" s="4">
        <v>19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6">
        <f t="shared" si="0"/>
        <v>0</v>
      </c>
    </row>
    <row r="22" spans="1:12" x14ac:dyDescent="0.25">
      <c r="A22" s="4">
        <v>20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6">
        <f t="shared" si="0"/>
        <v>0</v>
      </c>
    </row>
    <row r="23" spans="1:12" x14ac:dyDescent="0.25">
      <c r="A23" s="4">
        <v>21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6">
        <f t="shared" si="0"/>
        <v>0</v>
      </c>
    </row>
    <row r="24" spans="1:12" x14ac:dyDescent="0.25">
      <c r="B24" s="6">
        <f t="shared" ref="B24:K24" si="1">+SUM(B3:B23)</f>
        <v>0</v>
      </c>
      <c r="C24" s="6">
        <f t="shared" si="1"/>
        <v>0</v>
      </c>
      <c r="D24" s="6">
        <f t="shared" si="1"/>
        <v>0</v>
      </c>
      <c r="E24" s="6">
        <f t="shared" si="1"/>
        <v>0</v>
      </c>
      <c r="F24" s="6">
        <f t="shared" si="1"/>
        <v>0</v>
      </c>
      <c r="G24" s="6">
        <f t="shared" si="1"/>
        <v>0</v>
      </c>
      <c r="H24" s="6">
        <f t="shared" si="1"/>
        <v>0</v>
      </c>
      <c r="I24" s="6">
        <f t="shared" si="1"/>
        <v>0</v>
      </c>
      <c r="J24" s="6">
        <f t="shared" si="1"/>
        <v>0</v>
      </c>
      <c r="K24" s="6">
        <f t="shared" si="1"/>
        <v>0</v>
      </c>
      <c r="L24" s="6">
        <f t="shared" ref="L24" si="2">+SUM(B24:K24)</f>
        <v>0</v>
      </c>
    </row>
    <row r="26" spans="1:12" x14ac:dyDescent="0.25">
      <c r="A26" s="37" t="s">
        <v>12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</row>
    <row r="27" spans="1:12" x14ac:dyDescent="0.25">
      <c r="A27" s="1" t="s">
        <v>1</v>
      </c>
      <c r="B27" s="1" t="s">
        <v>2</v>
      </c>
      <c r="C27" s="1" t="s">
        <v>3</v>
      </c>
      <c r="D27" s="1" t="s">
        <v>4</v>
      </c>
      <c r="E27" s="1" t="s">
        <v>5</v>
      </c>
      <c r="F27" s="1" t="s">
        <v>6</v>
      </c>
      <c r="G27" s="1" t="s">
        <v>7</v>
      </c>
      <c r="H27" s="1" t="s">
        <v>8</v>
      </c>
      <c r="I27" s="1" t="s">
        <v>9</v>
      </c>
      <c r="J27" s="1" t="s">
        <v>10</v>
      </c>
      <c r="K27" s="1" t="s">
        <v>11</v>
      </c>
    </row>
    <row r="28" spans="1:12" x14ac:dyDescent="0.25">
      <c r="A28" s="4">
        <v>1</v>
      </c>
      <c r="B28" s="3">
        <v>0.35709999999999997</v>
      </c>
      <c r="C28" s="3">
        <v>0</v>
      </c>
      <c r="D28" s="3">
        <v>0</v>
      </c>
      <c r="E28" s="3">
        <v>3.5700000000000003E-2</v>
      </c>
      <c r="F28" s="3">
        <v>0</v>
      </c>
      <c r="G28" s="3">
        <v>3.5700000000000003E-2</v>
      </c>
      <c r="H28" s="3">
        <v>3.5700000000000003E-2</v>
      </c>
      <c r="I28" s="3">
        <v>3.5700000000000003E-2</v>
      </c>
      <c r="J28" s="3">
        <v>8.9300000000000004E-2</v>
      </c>
      <c r="K28" s="3">
        <v>0.1071</v>
      </c>
      <c r="L28" s="2"/>
    </row>
    <row r="29" spans="1:12" x14ac:dyDescent="0.25">
      <c r="A29" s="4">
        <v>2</v>
      </c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2" x14ac:dyDescent="0.25">
      <c r="A30" s="4">
        <v>3</v>
      </c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2" x14ac:dyDescent="0.25">
      <c r="A31" s="4">
        <v>4</v>
      </c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2" x14ac:dyDescent="0.25">
      <c r="A32" s="4">
        <v>5</v>
      </c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7" x14ac:dyDescent="0.25">
      <c r="A33" s="4">
        <v>6</v>
      </c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7" x14ac:dyDescent="0.25">
      <c r="A34" s="4">
        <v>7</v>
      </c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7" x14ac:dyDescent="0.25">
      <c r="A35" s="4">
        <v>8</v>
      </c>
      <c r="B35" s="3"/>
      <c r="C35" s="3"/>
      <c r="D35" s="3"/>
      <c r="E35" s="3"/>
      <c r="F35" s="3"/>
      <c r="G35" s="3"/>
      <c r="H35" s="3"/>
      <c r="I35" s="3"/>
      <c r="J35" s="3"/>
      <c r="K35" s="3"/>
      <c r="P35">
        <v>6</v>
      </c>
      <c r="Q35" s="7">
        <v>1</v>
      </c>
    </row>
    <row r="36" spans="1:17" x14ac:dyDescent="0.25">
      <c r="A36" s="4">
        <v>9</v>
      </c>
      <c r="B36" s="3"/>
      <c r="C36" s="3"/>
      <c r="D36" s="3"/>
      <c r="E36" s="3"/>
      <c r="F36" s="3"/>
      <c r="G36" s="3"/>
      <c r="H36" s="3"/>
      <c r="I36" s="3"/>
      <c r="J36" s="3"/>
      <c r="K36" s="3"/>
      <c r="P36">
        <v>1</v>
      </c>
      <c r="Q36" t="s">
        <v>13</v>
      </c>
    </row>
    <row r="37" spans="1:17" x14ac:dyDescent="0.25">
      <c r="A37" s="4">
        <v>10</v>
      </c>
      <c r="B37" s="3"/>
      <c r="C37" s="3"/>
      <c r="D37" s="3"/>
      <c r="E37" s="3"/>
      <c r="F37" s="3"/>
      <c r="G37" s="3"/>
      <c r="H37" s="3"/>
      <c r="I37" s="3"/>
      <c r="J37" s="3"/>
      <c r="K37" s="3"/>
      <c r="Q37" s="2">
        <f>+(P36/Q35)/P35</f>
        <v>0.16666666666666666</v>
      </c>
    </row>
    <row r="38" spans="1:17" x14ac:dyDescent="0.25">
      <c r="A38" s="4">
        <v>11</v>
      </c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7" x14ac:dyDescent="0.25">
      <c r="A39" s="4">
        <v>12</v>
      </c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7" x14ac:dyDescent="0.25">
      <c r="A40" s="4">
        <v>13</v>
      </c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7" x14ac:dyDescent="0.25">
      <c r="A41" s="4">
        <v>14</v>
      </c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7" x14ac:dyDescent="0.25">
      <c r="A42" s="4">
        <v>15</v>
      </c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7" x14ac:dyDescent="0.25">
      <c r="A43" s="4">
        <v>16</v>
      </c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7" x14ac:dyDescent="0.25">
      <c r="A44" s="4">
        <v>17</v>
      </c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7" x14ac:dyDescent="0.25">
      <c r="A45" s="4">
        <v>18</v>
      </c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7" x14ac:dyDescent="0.25">
      <c r="A46" s="4">
        <v>19</v>
      </c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7" x14ac:dyDescent="0.25">
      <c r="A47" s="4">
        <v>20</v>
      </c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7" x14ac:dyDescent="0.25">
      <c r="A48" s="4">
        <v>21</v>
      </c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7" x14ac:dyDescent="0.25">
      <c r="A49" s="4"/>
      <c r="B49" s="2">
        <f t="shared" ref="B49:K49" si="3">+AVERAGE(B28:B48)</f>
        <v>0.35709999999999997</v>
      </c>
      <c r="C49" s="2">
        <f t="shared" si="3"/>
        <v>0</v>
      </c>
      <c r="D49" s="2">
        <f t="shared" si="3"/>
        <v>0</v>
      </c>
      <c r="E49" s="2">
        <f t="shared" si="3"/>
        <v>3.5700000000000003E-2</v>
      </c>
      <c r="F49" s="2">
        <f t="shared" si="3"/>
        <v>0</v>
      </c>
      <c r="G49" s="2">
        <f t="shared" si="3"/>
        <v>3.5700000000000003E-2</v>
      </c>
      <c r="H49" s="2">
        <f t="shared" si="3"/>
        <v>3.5700000000000003E-2</v>
      </c>
      <c r="I49" s="2">
        <f t="shared" si="3"/>
        <v>3.5700000000000003E-2</v>
      </c>
      <c r="J49" s="2">
        <f t="shared" si="3"/>
        <v>8.9300000000000004E-2</v>
      </c>
      <c r="K49" s="2">
        <f t="shared" si="3"/>
        <v>0.1071</v>
      </c>
      <c r="L49" s="2">
        <f t="shared" ref="L49" si="4">+SUM(B49:K49)</f>
        <v>0.69630000000000003</v>
      </c>
    </row>
    <row r="53" spans="1:17" x14ac:dyDescent="0.25">
      <c r="P53" s="8"/>
      <c r="Q53" s="8"/>
    </row>
    <row r="54" spans="1:17" x14ac:dyDescent="0.25">
      <c r="P54" s="8"/>
      <c r="Q54" s="8"/>
    </row>
    <row r="55" spans="1:17" x14ac:dyDescent="0.25">
      <c r="H55" s="7"/>
    </row>
    <row r="57" spans="1:17" x14ac:dyDescent="0.25">
      <c r="H57" s="2"/>
      <c r="I57" s="2"/>
    </row>
  </sheetData>
  <mergeCells count="2">
    <mergeCell ref="A26:K26"/>
    <mergeCell ref="A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07066-B987-4F1A-AE8E-7F9FB762004D}">
  <dimension ref="A1:K19"/>
  <sheetViews>
    <sheetView workbookViewId="0">
      <selection activeCell="A17" sqref="A17:G19"/>
    </sheetView>
  </sheetViews>
  <sheetFormatPr baseColWidth="10" defaultColWidth="11.42578125" defaultRowHeight="15" x14ac:dyDescent="0.25"/>
  <cols>
    <col min="1" max="1" width="23.140625" bestFit="1" customWidth="1"/>
    <col min="2" max="2" width="15.85546875" customWidth="1"/>
    <col min="3" max="3" width="42.7109375" style="11" customWidth="1"/>
    <col min="4" max="4" width="29.7109375" bestFit="1" customWidth="1"/>
    <col min="5" max="5" width="32.140625" bestFit="1" customWidth="1"/>
    <col min="6" max="6" width="26.7109375" bestFit="1" customWidth="1"/>
    <col min="7" max="8" width="26.7109375" customWidth="1"/>
    <col min="9" max="9" width="10" bestFit="1" customWidth="1"/>
    <col min="10" max="10" width="15.140625" bestFit="1" customWidth="1"/>
  </cols>
  <sheetData>
    <row r="1" spans="1:11" x14ac:dyDescent="0.25">
      <c r="A1" s="38" t="s">
        <v>14</v>
      </c>
      <c r="B1" s="38"/>
      <c r="C1" s="38"/>
      <c r="D1" s="38"/>
      <c r="E1" s="38"/>
      <c r="F1" s="38"/>
      <c r="G1" s="19"/>
      <c r="H1" s="19"/>
    </row>
    <row r="3" spans="1:11" x14ac:dyDescent="0.25">
      <c r="A3" s="13" t="s">
        <v>15</v>
      </c>
      <c r="B3" s="13" t="s">
        <v>16</v>
      </c>
      <c r="C3" s="12" t="s">
        <v>17</v>
      </c>
      <c r="D3" s="13" t="s">
        <v>18</v>
      </c>
      <c r="E3" s="13" t="s">
        <v>19</v>
      </c>
      <c r="F3" s="13" t="s">
        <v>20</v>
      </c>
      <c r="G3" s="13" t="s">
        <v>21</v>
      </c>
      <c r="H3" s="18"/>
      <c r="I3" s="18"/>
      <c r="J3" s="18" t="s">
        <v>22</v>
      </c>
      <c r="K3" s="18" t="s">
        <v>23</v>
      </c>
    </row>
    <row r="4" spans="1:11" ht="45" x14ac:dyDescent="0.25">
      <c r="A4" s="14" t="s">
        <v>24</v>
      </c>
      <c r="B4" s="14" t="s">
        <v>25</v>
      </c>
      <c r="C4" s="14" t="s">
        <v>26</v>
      </c>
      <c r="D4" s="14" t="s">
        <v>27</v>
      </c>
      <c r="E4" s="14" t="s">
        <v>28</v>
      </c>
      <c r="F4" s="14" t="s">
        <v>29</v>
      </c>
      <c r="G4" s="14" t="s">
        <v>30</v>
      </c>
      <c r="H4" s="17"/>
      <c r="I4" s="17"/>
      <c r="J4" s="21">
        <v>0.76300000000000001</v>
      </c>
      <c r="K4" s="16">
        <v>0.26800000000000002</v>
      </c>
    </row>
    <row r="5" spans="1:11" ht="105" x14ac:dyDescent="0.25">
      <c r="A5" s="14" t="s">
        <v>24</v>
      </c>
      <c r="B5" s="14" t="s">
        <v>31</v>
      </c>
      <c r="C5" s="14" t="s">
        <v>32</v>
      </c>
      <c r="D5" s="14" t="s">
        <v>33</v>
      </c>
      <c r="E5" s="14" t="s">
        <v>34</v>
      </c>
      <c r="F5" s="14" t="s">
        <v>35</v>
      </c>
      <c r="G5" s="14" t="s">
        <v>36</v>
      </c>
      <c r="H5" s="17"/>
      <c r="I5" s="17"/>
      <c r="J5" s="21">
        <v>0.79</v>
      </c>
      <c r="K5" s="7">
        <v>0.52</v>
      </c>
    </row>
    <row r="6" spans="1:11" ht="75" x14ac:dyDescent="0.25">
      <c r="A6" s="14" t="s">
        <v>24</v>
      </c>
      <c r="B6" s="14" t="s">
        <v>37</v>
      </c>
      <c r="C6" s="14" t="s">
        <v>38</v>
      </c>
      <c r="D6" s="14" t="s">
        <v>39</v>
      </c>
      <c r="E6" s="14" t="s">
        <v>28</v>
      </c>
      <c r="F6" s="14" t="s">
        <v>29</v>
      </c>
      <c r="G6" s="14" t="s">
        <v>30</v>
      </c>
      <c r="H6" s="17">
        <v>18</v>
      </c>
      <c r="I6" s="17">
        <v>16</v>
      </c>
      <c r="J6" s="2">
        <f>+I6/H6</f>
        <v>0.88888888888888884</v>
      </c>
      <c r="K6" s="7"/>
    </row>
    <row r="7" spans="1:11" ht="90" x14ac:dyDescent="0.25">
      <c r="A7" s="14" t="s">
        <v>24</v>
      </c>
      <c r="B7" s="14" t="s">
        <v>40</v>
      </c>
      <c r="C7" s="14" t="s">
        <v>41</v>
      </c>
      <c r="D7" s="14" t="s">
        <v>42</v>
      </c>
      <c r="E7" s="14" t="s">
        <v>43</v>
      </c>
      <c r="F7" s="14" t="s">
        <v>30</v>
      </c>
      <c r="G7" s="14" t="s">
        <v>30</v>
      </c>
      <c r="H7" s="17">
        <v>18</v>
      </c>
      <c r="I7" s="17">
        <v>16</v>
      </c>
      <c r="J7" s="2">
        <f>+I7/H7</f>
        <v>0.88888888888888884</v>
      </c>
      <c r="K7" s="7"/>
    </row>
    <row r="8" spans="1:11" ht="105" x14ac:dyDescent="0.25">
      <c r="A8" s="14" t="s">
        <v>44</v>
      </c>
      <c r="B8" s="14" t="s">
        <v>45</v>
      </c>
      <c r="C8" s="14" t="s">
        <v>46</v>
      </c>
      <c r="D8" s="14" t="s">
        <v>47</v>
      </c>
      <c r="E8" s="14" t="s">
        <v>28</v>
      </c>
      <c r="F8" s="14" t="s">
        <v>30</v>
      </c>
      <c r="G8" s="14" t="s">
        <v>30</v>
      </c>
      <c r="H8" s="17">
        <v>4</v>
      </c>
      <c r="I8" s="17">
        <v>2</v>
      </c>
      <c r="J8" s="2">
        <f>+I8/H8</f>
        <v>0.5</v>
      </c>
      <c r="K8" s="7"/>
    </row>
    <row r="9" spans="1:11" x14ac:dyDescent="0.25">
      <c r="H9" s="17"/>
      <c r="I9" s="17"/>
      <c r="J9" s="2"/>
      <c r="K9" s="2"/>
    </row>
    <row r="10" spans="1:11" x14ac:dyDescent="0.25">
      <c r="H10" s="17"/>
      <c r="I10" s="17"/>
      <c r="J10" s="2"/>
      <c r="K10" s="7"/>
    </row>
    <row r="11" spans="1:11" x14ac:dyDescent="0.25">
      <c r="A11" s="17"/>
      <c r="B11" s="17"/>
      <c r="C11" s="17"/>
      <c r="D11" s="17"/>
      <c r="E11" s="17"/>
      <c r="F11" s="17"/>
      <c r="H11" s="17"/>
      <c r="I11" s="17"/>
      <c r="J11" s="7">
        <f>+AVERAGE(J4:J8)</f>
        <v>0.76615555555555548</v>
      </c>
      <c r="K11" s="7">
        <f>+AVERAGE(K4:K8)</f>
        <v>0.39400000000000002</v>
      </c>
    </row>
    <row r="12" spans="1:11" x14ac:dyDescent="0.25">
      <c r="A12" s="17"/>
      <c r="B12" s="17"/>
      <c r="C12" s="17"/>
      <c r="D12" s="17"/>
      <c r="E12" s="17"/>
      <c r="F12" s="17"/>
      <c r="G12" s="17"/>
      <c r="H12" s="17"/>
    </row>
    <row r="13" spans="1:11" x14ac:dyDescent="0.25">
      <c r="A13" s="17"/>
      <c r="B13" s="17"/>
      <c r="C13" s="17"/>
      <c r="D13" s="17"/>
      <c r="E13" s="17"/>
      <c r="F13" s="17"/>
      <c r="G13" s="17"/>
      <c r="H13" s="17"/>
    </row>
    <row r="14" spans="1:11" x14ac:dyDescent="0.25">
      <c r="A14" s="17"/>
      <c r="B14" s="17"/>
      <c r="C14" s="17"/>
      <c r="D14" s="17"/>
      <c r="E14" s="17"/>
      <c r="F14" s="17"/>
      <c r="G14" s="17"/>
      <c r="H14" s="17"/>
    </row>
    <row r="15" spans="1:11" x14ac:dyDescent="0.25">
      <c r="A15" s="38" t="s">
        <v>48</v>
      </c>
      <c r="B15" s="38"/>
      <c r="C15" s="38"/>
      <c r="D15" s="38"/>
      <c r="E15" s="38"/>
      <c r="F15" s="38"/>
      <c r="G15" s="19"/>
      <c r="H15" s="19"/>
    </row>
    <row r="17" spans="1:8" x14ac:dyDescent="0.25">
      <c r="A17" s="13" t="s">
        <v>15</v>
      </c>
      <c r="B17" s="13" t="s">
        <v>16</v>
      </c>
      <c r="C17" s="12" t="s">
        <v>17</v>
      </c>
      <c r="D17" s="13" t="s">
        <v>18</v>
      </c>
      <c r="E17" s="13" t="s">
        <v>19</v>
      </c>
      <c r="F17" s="13" t="s">
        <v>20</v>
      </c>
      <c r="G17" s="13" t="s">
        <v>21</v>
      </c>
      <c r="H17" s="20"/>
    </row>
    <row r="18" spans="1:8" ht="75" x14ac:dyDescent="0.25">
      <c r="A18" s="14" t="s">
        <v>24</v>
      </c>
      <c r="B18" s="14" t="s">
        <v>49</v>
      </c>
      <c r="C18" s="14" t="s">
        <v>50</v>
      </c>
      <c r="D18" s="14" t="s">
        <v>51</v>
      </c>
      <c r="E18" s="14" t="s">
        <v>28</v>
      </c>
      <c r="F18" s="14" t="s">
        <v>30</v>
      </c>
      <c r="G18" s="14" t="s">
        <v>30</v>
      </c>
      <c r="H18" s="17"/>
    </row>
    <row r="19" spans="1:8" ht="60" x14ac:dyDescent="0.25">
      <c r="A19" s="14" t="s">
        <v>24</v>
      </c>
      <c r="B19" s="14" t="s">
        <v>52</v>
      </c>
      <c r="C19" s="14" t="s">
        <v>53</v>
      </c>
      <c r="D19" s="15" t="s">
        <v>54</v>
      </c>
      <c r="E19" s="14" t="s">
        <v>55</v>
      </c>
      <c r="F19" s="14" t="s">
        <v>28</v>
      </c>
      <c r="G19" s="14" t="s">
        <v>56</v>
      </c>
      <c r="H19" s="17"/>
    </row>
  </sheetData>
  <mergeCells count="2">
    <mergeCell ref="A1:F1"/>
    <mergeCell ref="A15:F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DE8D4-4890-408B-ADA2-83B4A0BD3DEA}">
  <dimension ref="A1:AE13"/>
  <sheetViews>
    <sheetView tabSelected="1" workbookViewId="0">
      <selection sqref="A1:XFD1048576"/>
    </sheetView>
  </sheetViews>
  <sheetFormatPr baseColWidth="10" defaultColWidth="11.42578125" defaultRowHeight="15" x14ac:dyDescent="0.25"/>
  <cols>
    <col min="1" max="1" width="44.28515625" style="11" customWidth="1"/>
    <col min="2" max="11" width="14" customWidth="1"/>
    <col min="12" max="12" width="11.42578125" customWidth="1"/>
    <col min="13" max="14" width="14" customWidth="1"/>
    <col min="15" max="16" width="11.42578125" customWidth="1"/>
    <col min="17" max="20" width="14" customWidth="1"/>
    <col min="21" max="22" width="11.42578125" customWidth="1"/>
    <col min="23" max="23" width="13.28515625" customWidth="1"/>
    <col min="24" max="24" width="14" customWidth="1"/>
    <col min="25" max="25" width="13.140625" customWidth="1"/>
  </cols>
  <sheetData>
    <row r="1" spans="1:31" x14ac:dyDescent="0.25">
      <c r="A1"/>
      <c r="B1" s="36" t="s">
        <v>57</v>
      </c>
      <c r="C1" s="36"/>
      <c r="D1" s="36"/>
      <c r="E1" s="36"/>
      <c r="F1" s="36" t="s">
        <v>58</v>
      </c>
      <c r="G1" s="36"/>
      <c r="H1" s="31" t="s">
        <v>59</v>
      </c>
      <c r="I1" s="31"/>
      <c r="J1" s="31" t="s">
        <v>60</v>
      </c>
      <c r="K1" s="31"/>
      <c r="L1" s="31"/>
      <c r="M1" s="31" t="s">
        <v>61</v>
      </c>
      <c r="N1" s="31"/>
      <c r="O1" s="31"/>
      <c r="P1" s="31"/>
      <c r="Q1" s="32" t="s">
        <v>62</v>
      </c>
      <c r="R1" s="33"/>
      <c r="S1" s="22" t="s">
        <v>63</v>
      </c>
      <c r="T1" s="34" t="s">
        <v>64</v>
      </c>
      <c r="U1" s="35"/>
      <c r="V1" s="35"/>
      <c r="W1" s="35"/>
      <c r="X1" s="35"/>
    </row>
    <row r="2" spans="1:31" ht="48" x14ac:dyDescent="0.25">
      <c r="A2" s="23" t="s">
        <v>65</v>
      </c>
      <c r="B2" s="24" t="s">
        <v>66</v>
      </c>
      <c r="C2" s="25" t="s">
        <v>67</v>
      </c>
      <c r="D2" s="26" t="s">
        <v>35</v>
      </c>
      <c r="E2" s="27" t="s">
        <v>68</v>
      </c>
      <c r="F2" s="26" t="s">
        <v>69</v>
      </c>
      <c r="G2" s="27" t="s">
        <v>66</v>
      </c>
      <c r="H2" s="27" t="s">
        <v>70</v>
      </c>
      <c r="I2" s="24" t="s">
        <v>66</v>
      </c>
      <c r="J2" s="27" t="s">
        <v>71</v>
      </c>
      <c r="K2" s="24" t="s">
        <v>67</v>
      </c>
      <c r="L2" s="26" t="s">
        <v>69</v>
      </c>
      <c r="M2" s="27" t="s">
        <v>72</v>
      </c>
      <c r="N2" s="24" t="s">
        <v>55</v>
      </c>
      <c r="O2" s="26" t="s">
        <v>29</v>
      </c>
      <c r="P2" s="25" t="s">
        <v>56</v>
      </c>
      <c r="Q2" s="27" t="s">
        <v>73</v>
      </c>
      <c r="R2" s="24" t="s">
        <v>74</v>
      </c>
      <c r="S2" s="27" t="s">
        <v>75</v>
      </c>
      <c r="T2" s="27" t="s">
        <v>76</v>
      </c>
      <c r="U2" s="29" t="s">
        <v>77</v>
      </c>
      <c r="V2" s="25" t="s">
        <v>34</v>
      </c>
      <c r="W2" s="26" t="s">
        <v>35</v>
      </c>
      <c r="X2" s="24" t="s">
        <v>36</v>
      </c>
      <c r="Y2" s="26" t="s">
        <v>78</v>
      </c>
    </row>
    <row r="3" spans="1:31" ht="47.25" x14ac:dyDescent="0.25">
      <c r="A3" s="28" t="s">
        <v>79</v>
      </c>
      <c r="B3" s="9">
        <v>0</v>
      </c>
      <c r="C3" s="9">
        <v>0</v>
      </c>
      <c r="D3" s="9">
        <v>1</v>
      </c>
      <c r="E3" s="9">
        <v>0</v>
      </c>
      <c r="F3" s="9">
        <v>1</v>
      </c>
      <c r="G3" s="9">
        <v>0</v>
      </c>
      <c r="H3" s="9">
        <v>0</v>
      </c>
      <c r="I3" s="9">
        <v>0</v>
      </c>
      <c r="J3" s="9">
        <v>0</v>
      </c>
      <c r="K3" s="9">
        <v>2</v>
      </c>
      <c r="L3" s="9">
        <v>1</v>
      </c>
      <c r="M3" s="9">
        <v>0</v>
      </c>
      <c r="N3" s="9">
        <v>3</v>
      </c>
      <c r="O3" s="9">
        <v>1</v>
      </c>
      <c r="P3" s="9">
        <v>0</v>
      </c>
      <c r="Q3" s="9">
        <v>0</v>
      </c>
      <c r="R3" s="9">
        <v>0</v>
      </c>
      <c r="S3" s="9">
        <v>0</v>
      </c>
      <c r="T3" s="30">
        <v>0</v>
      </c>
      <c r="U3" s="30">
        <v>1</v>
      </c>
      <c r="V3" s="30">
        <v>0</v>
      </c>
      <c r="W3" s="30">
        <v>0</v>
      </c>
      <c r="X3" s="30">
        <v>0</v>
      </c>
      <c r="Y3" s="9">
        <v>0</v>
      </c>
    </row>
    <row r="4" spans="1:31" ht="47.25" x14ac:dyDescent="0.25">
      <c r="A4" s="28" t="s">
        <v>80</v>
      </c>
      <c r="B4" s="9">
        <v>0</v>
      </c>
      <c r="C4" s="9">
        <v>0</v>
      </c>
      <c r="D4" s="9">
        <v>0</v>
      </c>
      <c r="E4" s="9">
        <v>1</v>
      </c>
      <c r="F4" s="9">
        <v>0</v>
      </c>
      <c r="G4" s="9">
        <v>1</v>
      </c>
      <c r="H4" s="9">
        <v>0</v>
      </c>
      <c r="I4" s="9">
        <v>0</v>
      </c>
      <c r="J4" s="9">
        <v>0</v>
      </c>
      <c r="K4" s="9">
        <v>0</v>
      </c>
      <c r="L4" s="9">
        <v>1</v>
      </c>
      <c r="M4" s="9">
        <v>0</v>
      </c>
      <c r="N4" s="9">
        <v>0</v>
      </c>
      <c r="O4" s="9">
        <v>0</v>
      </c>
      <c r="P4" s="9">
        <v>1</v>
      </c>
      <c r="Q4" s="9">
        <v>0</v>
      </c>
      <c r="R4" s="9">
        <v>0</v>
      </c>
      <c r="S4" s="9">
        <v>0</v>
      </c>
      <c r="T4" s="9">
        <v>0</v>
      </c>
      <c r="U4" s="9">
        <v>1</v>
      </c>
      <c r="V4" s="9">
        <v>0</v>
      </c>
      <c r="W4" s="9">
        <v>0</v>
      </c>
      <c r="X4" s="9">
        <v>0</v>
      </c>
      <c r="Y4" s="9">
        <v>0</v>
      </c>
    </row>
    <row r="5" spans="1:31" ht="47.25" x14ac:dyDescent="0.25">
      <c r="A5" s="28" t="s">
        <v>81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1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31" ht="47.25" x14ac:dyDescent="0.25">
      <c r="A6" s="28" t="s">
        <v>82</v>
      </c>
      <c r="B6" s="9">
        <v>1</v>
      </c>
      <c r="C6" s="9">
        <v>1</v>
      </c>
      <c r="D6" s="9">
        <v>1</v>
      </c>
      <c r="E6" s="9">
        <v>1</v>
      </c>
      <c r="F6" s="9">
        <v>1</v>
      </c>
      <c r="G6" s="9">
        <v>1</v>
      </c>
      <c r="H6" s="9">
        <v>1</v>
      </c>
      <c r="I6" s="9">
        <v>2</v>
      </c>
      <c r="J6" s="9">
        <v>1</v>
      </c>
      <c r="K6" s="9">
        <v>11</v>
      </c>
      <c r="L6" s="9">
        <v>5</v>
      </c>
      <c r="M6" s="9">
        <v>1</v>
      </c>
      <c r="N6" s="9">
        <v>4</v>
      </c>
      <c r="O6" s="9">
        <v>3</v>
      </c>
      <c r="P6" s="9">
        <v>1</v>
      </c>
      <c r="Q6" s="9">
        <v>1</v>
      </c>
      <c r="R6" s="9">
        <v>1</v>
      </c>
      <c r="S6" s="9">
        <v>0</v>
      </c>
      <c r="T6" s="9">
        <v>1</v>
      </c>
      <c r="U6" s="9">
        <v>5</v>
      </c>
      <c r="V6" s="9">
        <v>1</v>
      </c>
      <c r="W6" s="9">
        <v>1</v>
      </c>
      <c r="X6" s="9">
        <v>1</v>
      </c>
      <c r="Y6" s="9">
        <v>0</v>
      </c>
      <c r="Z6" s="2"/>
      <c r="AE6" s="2"/>
    </row>
    <row r="7" spans="1:31" ht="47.25" x14ac:dyDescent="0.25">
      <c r="A7" s="28" t="s">
        <v>83</v>
      </c>
      <c r="B7" s="10">
        <v>1</v>
      </c>
      <c r="C7" s="10">
        <v>1</v>
      </c>
      <c r="D7" s="10">
        <v>0.5</v>
      </c>
      <c r="E7" s="10">
        <v>0.5</v>
      </c>
      <c r="F7" s="10">
        <v>0.5</v>
      </c>
      <c r="G7" s="10">
        <v>0.5</v>
      </c>
      <c r="H7" s="10">
        <v>1</v>
      </c>
      <c r="I7" s="10">
        <v>1</v>
      </c>
      <c r="J7" s="10">
        <v>0</v>
      </c>
      <c r="K7" s="10">
        <v>0.82</v>
      </c>
      <c r="L7" s="10">
        <v>0.25</v>
      </c>
      <c r="M7" s="10">
        <v>1</v>
      </c>
      <c r="N7" s="10">
        <v>0.25</v>
      </c>
      <c r="O7" s="10">
        <v>0.33</v>
      </c>
      <c r="P7" s="10">
        <v>0.5</v>
      </c>
      <c r="Q7" s="10">
        <v>1</v>
      </c>
      <c r="R7" s="10">
        <v>1</v>
      </c>
      <c r="S7" s="10">
        <v>0</v>
      </c>
      <c r="T7" s="10">
        <v>1</v>
      </c>
      <c r="U7" s="10">
        <v>0.6</v>
      </c>
      <c r="V7" s="10">
        <v>1</v>
      </c>
      <c r="W7" s="10">
        <v>1</v>
      </c>
      <c r="X7" s="10">
        <v>1</v>
      </c>
      <c r="Y7" s="10">
        <v>0</v>
      </c>
      <c r="Z7" s="2"/>
    </row>
    <row r="8" spans="1:31" ht="47.25" x14ac:dyDescent="0.25">
      <c r="A8" s="28" t="s">
        <v>84</v>
      </c>
      <c r="B8" s="10">
        <v>0.62</v>
      </c>
      <c r="C8" s="10">
        <v>0.62</v>
      </c>
      <c r="D8" s="10">
        <v>0</v>
      </c>
      <c r="E8" s="10">
        <v>0</v>
      </c>
      <c r="F8" s="10">
        <v>0</v>
      </c>
      <c r="G8" s="10">
        <v>0</v>
      </c>
      <c r="H8" s="10">
        <v>0.75</v>
      </c>
      <c r="I8" s="10">
        <v>0.9</v>
      </c>
      <c r="J8" s="10">
        <v>0.75</v>
      </c>
      <c r="K8" s="10">
        <v>0.9</v>
      </c>
      <c r="L8" s="10">
        <v>0.47</v>
      </c>
      <c r="M8" s="10">
        <v>0.73</v>
      </c>
      <c r="N8" s="10">
        <v>0.64</v>
      </c>
      <c r="O8" s="10">
        <v>0.7</v>
      </c>
      <c r="P8" s="10">
        <v>0</v>
      </c>
      <c r="Q8" s="10">
        <v>0.08</v>
      </c>
      <c r="R8" s="10">
        <v>0.47</v>
      </c>
      <c r="S8" s="10">
        <v>0</v>
      </c>
      <c r="T8" s="10">
        <v>0.89</v>
      </c>
      <c r="U8" s="10">
        <v>0.57999999999999996</v>
      </c>
      <c r="V8" s="10">
        <v>0.79</v>
      </c>
      <c r="W8" s="10">
        <v>0.79</v>
      </c>
      <c r="X8" s="10">
        <v>0.79</v>
      </c>
      <c r="Y8" s="10">
        <v>0</v>
      </c>
    </row>
    <row r="9" spans="1:31" ht="47.25" x14ac:dyDescent="0.25">
      <c r="A9" s="28" t="s">
        <v>85</v>
      </c>
      <c r="B9" s="10">
        <v>0</v>
      </c>
      <c r="C9" s="10">
        <v>0</v>
      </c>
      <c r="D9" s="10">
        <v>1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0.25</v>
      </c>
      <c r="K9" s="10">
        <v>0.6</v>
      </c>
      <c r="L9" s="10">
        <v>0.6</v>
      </c>
      <c r="M9" s="10">
        <v>1</v>
      </c>
      <c r="N9" s="10">
        <v>0</v>
      </c>
      <c r="O9" s="10">
        <v>0</v>
      </c>
      <c r="P9" s="10">
        <v>0</v>
      </c>
      <c r="Q9" s="10">
        <v>1</v>
      </c>
      <c r="R9" s="10">
        <v>0</v>
      </c>
      <c r="S9" s="10">
        <v>0</v>
      </c>
      <c r="T9" s="10">
        <v>0</v>
      </c>
      <c r="U9" s="10">
        <v>0.83</v>
      </c>
      <c r="V9" s="10">
        <v>0</v>
      </c>
      <c r="W9" s="10">
        <v>0</v>
      </c>
      <c r="X9" s="10">
        <v>0</v>
      </c>
      <c r="Y9" s="10">
        <v>0</v>
      </c>
    </row>
    <row r="10" spans="1:31" ht="47.25" x14ac:dyDescent="0.25">
      <c r="A10" s="28" t="s">
        <v>86</v>
      </c>
      <c r="B10" s="10">
        <v>0</v>
      </c>
      <c r="C10" s="10">
        <v>0</v>
      </c>
      <c r="D10" s="10">
        <v>1</v>
      </c>
      <c r="E10" s="10">
        <v>0</v>
      </c>
      <c r="F10" s="10">
        <v>1</v>
      </c>
      <c r="G10" s="10">
        <v>0</v>
      </c>
      <c r="H10" s="10">
        <v>0</v>
      </c>
      <c r="I10" s="10">
        <v>1</v>
      </c>
      <c r="J10" s="10">
        <v>1</v>
      </c>
      <c r="K10" s="10">
        <v>1</v>
      </c>
      <c r="L10" s="10">
        <v>1</v>
      </c>
      <c r="M10" s="10">
        <v>1</v>
      </c>
      <c r="N10" s="10">
        <v>0</v>
      </c>
      <c r="O10" s="10">
        <v>0</v>
      </c>
      <c r="P10" s="10">
        <v>0</v>
      </c>
      <c r="Q10" s="10">
        <v>1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1</v>
      </c>
    </row>
    <row r="11" spans="1:31" ht="31.5" x14ac:dyDescent="0.25">
      <c r="A11" s="28" t="s">
        <v>87</v>
      </c>
      <c r="B11" s="10">
        <v>0</v>
      </c>
      <c r="C11" s="10">
        <v>0</v>
      </c>
      <c r="D11" s="10">
        <v>1</v>
      </c>
      <c r="E11" s="10">
        <v>0</v>
      </c>
      <c r="F11" s="10">
        <v>0.2</v>
      </c>
      <c r="G11" s="10">
        <v>0.2</v>
      </c>
      <c r="H11" s="10">
        <v>0</v>
      </c>
      <c r="I11" s="10">
        <v>0.75</v>
      </c>
      <c r="J11" s="10">
        <v>0.5</v>
      </c>
      <c r="K11" s="10">
        <v>0.71</v>
      </c>
      <c r="L11" s="10">
        <v>0.69</v>
      </c>
      <c r="M11" s="10">
        <v>1</v>
      </c>
      <c r="N11" s="10">
        <v>0</v>
      </c>
      <c r="O11" s="10">
        <v>0</v>
      </c>
      <c r="P11" s="10">
        <v>0</v>
      </c>
      <c r="Q11" s="10">
        <v>1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0.75</v>
      </c>
    </row>
    <row r="12" spans="1:31" ht="31.5" x14ac:dyDescent="0.25">
      <c r="A12" s="28" t="s">
        <v>88</v>
      </c>
      <c r="B12" s="10">
        <v>0</v>
      </c>
      <c r="C12" s="10">
        <v>0</v>
      </c>
      <c r="D12" s="10">
        <v>1</v>
      </c>
      <c r="E12" s="10">
        <v>0</v>
      </c>
      <c r="F12" s="10">
        <v>0.2</v>
      </c>
      <c r="G12" s="10">
        <v>0.2</v>
      </c>
      <c r="H12" s="10">
        <v>0</v>
      </c>
      <c r="I12" s="10">
        <v>0.75</v>
      </c>
      <c r="J12" s="10">
        <v>0.5</v>
      </c>
      <c r="K12" s="10">
        <v>0.71</v>
      </c>
      <c r="L12" s="10">
        <v>0.69</v>
      </c>
      <c r="M12" s="10">
        <v>1</v>
      </c>
      <c r="N12" s="10">
        <v>0</v>
      </c>
      <c r="O12" s="10">
        <v>0</v>
      </c>
      <c r="P12" s="10">
        <v>0</v>
      </c>
      <c r="Q12" s="10">
        <v>1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0.75</v>
      </c>
    </row>
    <row r="13" spans="1:31" ht="47.25" x14ac:dyDescent="0.25">
      <c r="A13" s="28" t="s">
        <v>89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</row>
  </sheetData>
  <mergeCells count="7">
    <mergeCell ref="M1:P1"/>
    <mergeCell ref="Q1:R1"/>
    <mergeCell ref="T1:X1"/>
    <mergeCell ref="B1:E1"/>
    <mergeCell ref="F1:G1"/>
    <mergeCell ref="H1:I1"/>
    <mergeCell ref="J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Hoja3</vt:lpstr>
      <vt:lpstr>Hoja2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BRENDA ATEHORTUA BETANCUR</dc:creator>
  <cp:keywords/>
  <dc:description/>
  <cp:lastModifiedBy>Larrea Calle Miguel Angel</cp:lastModifiedBy>
  <cp:revision/>
  <dcterms:created xsi:type="dcterms:W3CDTF">2025-11-26T19:58:51Z</dcterms:created>
  <dcterms:modified xsi:type="dcterms:W3CDTF">2026-03-27T19:36:36Z</dcterms:modified>
  <cp:category/>
  <cp:contentStatus/>
</cp:coreProperties>
</file>